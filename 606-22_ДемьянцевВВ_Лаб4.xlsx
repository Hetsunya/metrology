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harts/colors10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0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hart6.xml" ContentType="application/vnd.openxmlformats-officedocument.drawingml.chart+xml"/>
  <Override PartName="/xl/charts/style6.xml" ContentType="application/vnd.ms-office.chartstyle+xml"/>
  <Override PartName="/xl/charts/style9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7.xml" ContentType="application/vnd.ms-office.chartstyle+xml"/>
  <Override PartName="/xl/charts/style8.xml" ContentType="application/vnd.ms-office.chart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7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<sst xmlns="http://schemas.openxmlformats.org/spreadsheetml/2006/main" count="27" uniqueCount="27">
  <si>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№</t>
  </si>
  <si>
    <t>Цвет</t>
  </si>
  <si>
    <t>Номинал</t>
  </si>
  <si>
    <t xml:space="preserve">Замер 1</t>
  </si>
  <si>
    <t xml:space="preserve">Замер 2</t>
  </si>
  <si>
    <t xml:space="preserve">Замер 3</t>
  </si>
  <si>
    <t xml:space="preserve">Замер 4</t>
  </si>
  <si>
    <t xml:space="preserve">Замер 5</t>
  </si>
  <si>
    <t xml:space="preserve">Замер 6</t>
  </si>
  <si>
    <t xml:space="preserve">Замер 7</t>
  </si>
  <si>
    <t xml:space="preserve">Замер 8</t>
  </si>
  <si>
    <t xml:space="preserve">Замер 9</t>
  </si>
  <si>
    <t xml:space="preserve">Замер 10</t>
  </si>
  <si>
    <t>1К5</t>
  </si>
  <si>
    <t>1,5кОМ</t>
  </si>
  <si>
    <t>56К</t>
  </si>
  <si>
    <t>56кОМ</t>
  </si>
  <si>
    <t>ОКБЗ</t>
  </si>
  <si>
    <t>31ГОм</t>
  </si>
  <si>
    <t>ЗКЧКК</t>
  </si>
  <si>
    <t>5,1кОМ</t>
  </si>
  <si>
    <t>КЧОС</t>
  </si>
  <si>
    <t>10кОМ</t>
  </si>
  <si>
    <t xml:space="preserve">Первый мультиметр</t>
  </si>
  <si>
    <t xml:space="preserve">Второй мультиметр</t>
  </si>
  <si>
    <t>Ã</t>
  </si>
  <si>
    <t>S(Ã)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</si>
</sst>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.000000"/>
      <color theme="1"/>
      <name val="Calibri"/>
      <scheme val="minor"/>
    </font>
    <font>
      <sz val="14.000000"/>
      <color theme="1"/>
      <name val="Times New Roman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/>
    <xf fontId="0" fillId="0" borderId="0" numFmtId="2" xfId="0" applyNumberFormat="1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justify" vertical="center" wrapText="1"/>
    </xf>
    <xf fontId="1" fillId="0" borderId="5" numFmtId="0" xfId="0" applyFont="1" applyBorder="1" applyAlignment="1">
      <alignment horizontal="justify" vertical="center" wrapText="1"/>
    </xf>
    <xf fontId="1" fillId="0" borderId="5" numFmtId="164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Лист1!$R$9</c:f>
              <c:strCache>
                <c:ptCount val="1"/>
                <c:pt idx="0">
                  <c:v>Замер 1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Лист1!$R$10:$R$14</c:f>
              <c:numCache>
                <c:formatCode>General</c:formatCode>
                <c:ptCount val="5"/>
                <c:pt idx="0">
                  <c:v>0</c:v>
                </c:pt>
                <c:pt idx="1">
                  <c:v>-2</c:v>
                </c:pt>
                <c:pt idx="3">
                  <c:v>-0.09999999999999964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Лист1!$S$9</c:f>
              <c:strCache>
                <c:ptCount val="1"/>
                <c:pt idx="0">
                  <c:v>Замер 2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Лист1!$S$10:$S$14</c:f>
              <c:numCache>
                <c:formatCode>General</c:formatCode>
                <c:ptCount val="5"/>
                <c:pt idx="0">
                  <c:v>0.020000000000000018</c:v>
                </c:pt>
                <c:pt idx="1">
                  <c:v>-0.7999999999999972</c:v>
                </c:pt>
                <c:pt idx="3">
                  <c:v>-0.1999999999999993</c:v>
                </c:pt>
                <c:pt idx="4">
                  <c:v>-0.019999999999999574</c:v>
                </c:pt>
              </c:numCache>
            </c:numRef>
          </c:val>
        </c:ser>
        <c:ser>
          <c:idx val="2"/>
          <c:order val="2"/>
          <c:tx>
            <c:strRef>
              <c:f>Лист1!$T$9</c:f>
              <c:strCache>
                <c:ptCount val="1"/>
                <c:pt idx="0">
                  <c:v>Замер 3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Лист1!$T$10:$T$14</c:f>
              <c:numCache>
                <c:formatCode>General</c:formatCode>
                <c:ptCount val="5"/>
                <c:pt idx="0">
                  <c:v>-0.020000000000000018</c:v>
                </c:pt>
                <c:pt idx="1">
                  <c:v>0</c:v>
                </c:pt>
                <c:pt idx="3">
                  <c:v>0</c:v>
                </c:pt>
                <c:pt idx="4">
                  <c:v>0.1999999999999993</c:v>
                </c:pt>
              </c:numCache>
            </c:numRef>
          </c:val>
        </c:ser>
        <c:ser>
          <c:idx val="3"/>
          <c:order val="3"/>
          <c:tx>
            <c:strRef>
              <c:f>Лист1!$U$9</c:f>
              <c:strCache>
                <c:ptCount val="1"/>
                <c:pt idx="0">
                  <c:v>Замер 4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Лист1!$U$10:$U$14</c:f>
              <c:numCache>
                <c:formatCode>General</c:formatCode>
                <c:ptCount val="5"/>
                <c:pt idx="0">
                  <c:v>-0.010000000000000009</c:v>
                </c:pt>
                <c:pt idx="1">
                  <c:v>-1.2000000000000028</c:v>
                </c:pt>
                <c:pt idx="3">
                  <c:v>0.10000000000000053</c:v>
                </c:pt>
                <c:pt idx="4">
                  <c:v>0.09999999999999964</c:v>
                </c:pt>
              </c:numCache>
            </c:numRef>
          </c:val>
        </c:ser>
        <c:ser>
          <c:idx val="4"/>
          <c:order val="4"/>
          <c:tx>
            <c:strRef>
              <c:f>Лист1!$V$9</c:f>
              <c:strCache>
                <c:ptCount val="1"/>
                <c:pt idx="0">
                  <c:v>Замер 5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Лист1!$V$10:$V$14</c:f>
              <c:numCache>
                <c:formatCode>General</c:formatCode>
                <c:ptCount val="5"/>
                <c:pt idx="0">
                  <c:v>0.010000000000000009</c:v>
                </c:pt>
                <c:pt idx="1">
                  <c:v>0.20000000000000284</c:v>
                </c:pt>
                <c:pt idx="3">
                  <c:v>-0.2999999999999998</c:v>
                </c:pt>
                <c:pt idx="4">
                  <c:v>-0.09999999999999964</c:v>
                </c:pt>
              </c:numCache>
            </c:numRef>
          </c:val>
        </c:ser>
        <c:ser>
          <c:idx val="5"/>
          <c:order val="5"/>
          <c:tx>
            <c:strRef>
              <c:f>Лист1!$W$9</c:f>
              <c:strCache>
                <c:ptCount val="1"/>
                <c:pt idx="0">
                  <c:v>Замер 6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Лист1!$W$10:$W$14</c:f>
              <c:numCache>
                <c:formatCode>General</c:formatCode>
                <c:ptCount val="5"/>
                <c:pt idx="0">
                  <c:v>0</c:v>
                </c:pt>
                <c:pt idx="1">
                  <c:v>-0.5</c:v>
                </c:pt>
                <c:pt idx="3">
                  <c:v>-0.09999999999999964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Лист1!$X$9</c:f>
              <c:strCache>
                <c:ptCount val="1"/>
                <c:pt idx="0">
                  <c:v>Замер 7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Лист1!$X$10:$X$14</c:f>
              <c:numCache>
                <c:formatCode>General</c:formatCode>
                <c:ptCount val="5"/>
                <c:pt idx="0">
                  <c:v>0.030000000000000027</c:v>
                </c:pt>
                <c:pt idx="1">
                  <c:v>-1</c:v>
                </c:pt>
                <c:pt idx="3">
                  <c:v>0</c:v>
                </c:pt>
                <c:pt idx="4">
                  <c:v>0.09999999999999964</c:v>
                </c:pt>
              </c:numCache>
            </c:numRef>
          </c:val>
        </c:ser>
        <c:ser>
          <c:idx val="7"/>
          <c:order val="7"/>
          <c:tx>
            <c:strRef>
              <c:f>Лист1!$Y$9</c:f>
              <c:strCache>
                <c:ptCount val="1"/>
                <c:pt idx="0">
                  <c:v>Замер 8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Лист1!$Y$10:$Y$14</c:f>
              <c:numCache>
                <c:formatCode>General</c:formatCode>
                <c:ptCount val="5"/>
                <c:pt idx="0">
                  <c:v>-0.030000000000000027</c:v>
                </c:pt>
                <c:pt idx="1">
                  <c:v>-0.8999999999999986</c:v>
                </c:pt>
                <c:pt idx="3">
                  <c:v>-0.09999999999999964</c:v>
                </c:pt>
                <c:pt idx="4">
                  <c:v>0.3000000000000007</c:v>
                </c:pt>
              </c:numCache>
            </c:numRef>
          </c:val>
        </c:ser>
        <c:ser>
          <c:idx val="8"/>
          <c:order val="8"/>
          <c:tx>
            <c:strRef>
              <c:f>Лист1!$Z$9</c:f>
              <c:strCache>
                <c:ptCount val="1"/>
                <c:pt idx="0">
                  <c:v>Замер 9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Лист1!$Z$10:$Z$14</c:f>
              <c:numCache>
                <c:formatCode>General</c:formatCode>
                <c:ptCount val="5"/>
                <c:pt idx="0">
                  <c:v>0</c:v>
                </c:pt>
                <c:pt idx="1">
                  <c:v>-0.5</c:v>
                </c:pt>
                <c:pt idx="3">
                  <c:v>-0.1999999999999993</c:v>
                </c:pt>
                <c:pt idx="4">
                  <c:v>0.1999999999999993</c:v>
                </c:pt>
              </c:numCache>
            </c:numRef>
          </c:val>
        </c:ser>
        <c:ser>
          <c:idx val="9"/>
          <c:order val="9"/>
          <c:tx>
            <c:strRef>
              <c:f>Лист1!$AA$9</c:f>
              <c:strCache>
                <c:ptCount val="1"/>
                <c:pt idx="0">
                  <c:v>Замер 10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Лист1!$Q$10:$Q$14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Лист1!$AA$10:$AA$14</c:f>
              <c:numCache>
                <c:formatCode>General</c:formatCode>
                <c:ptCount val="5"/>
                <c:pt idx="0">
                  <c:v>0.020000000000000018</c:v>
                </c:pt>
                <c:pt idx="1">
                  <c:v>-1.2000000000000028</c:v>
                </c:pt>
                <c:pt idx="3">
                  <c:v>0.10000000000000053</c:v>
                </c:pt>
                <c:pt idx="4">
                  <c:v>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1644965247"/>
        <c:axId val="1644969087"/>
      </c:barChart>
      <c:catAx>
        <c:axId val="164496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4969087"/>
        <c:crosses val="autoZero"/>
        <c:auto val="1"/>
        <c:lblAlgn val="ctr"/>
        <c:lblOffset val="100"/>
        <c:noMultiLvlLbl val="0"/>
      </c:catAx>
      <c:valAx>
        <c:axId val="164496908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496524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21115563" y="2533648"/>
      <a:ext cx="4622426" cy="247665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Лист1!$R$1</c:f>
              <c:strCache>
                <c:ptCount val="1"/>
                <c:pt idx="0">
                  <c:v>Замер 1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Лист1!$R$2:$R$6</c:f>
              <c:numCache>
                <c:formatCode>General</c:formatCode>
                <c:ptCount val="5"/>
                <c:pt idx="0">
                  <c:v>0.040000000000000036</c:v>
                </c:pt>
                <c:pt idx="1">
                  <c:v>0.7999999999999972</c:v>
                </c:pt>
                <c:pt idx="3">
                  <c:v>-0.02999999999999936</c:v>
                </c:pt>
                <c:pt idx="4">
                  <c:v>0.3000000000000007</c:v>
                </c:pt>
              </c:numCache>
            </c:numRef>
          </c:val>
        </c:ser>
        <c:ser>
          <c:idx val="1"/>
          <c:order val="1"/>
          <c:tx>
            <c:strRef>
              <c:f>Лист1!$S$1</c:f>
              <c:strCache>
                <c:ptCount val="1"/>
                <c:pt idx="0">
                  <c:v>Замер 2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Лист1!$S$2:$S$6</c:f>
              <c:numCache>
                <c:formatCode>General</c:formatCode>
                <c:ptCount val="5"/>
                <c:pt idx="0">
                  <c:v>0.030000000000000027</c:v>
                </c:pt>
                <c:pt idx="1">
                  <c:v>2</c:v>
                </c:pt>
                <c:pt idx="3">
                  <c:v>-0.0699999999999994</c:v>
                </c:pt>
                <c:pt idx="4">
                  <c:v>0.1999999999999993</c:v>
                </c:pt>
              </c:numCache>
            </c:numRef>
          </c:val>
        </c:ser>
        <c:ser>
          <c:idx val="2"/>
          <c:order val="2"/>
          <c:tx>
            <c:strRef>
              <c:f>Лист1!$T$1</c:f>
              <c:strCache>
                <c:ptCount val="1"/>
                <c:pt idx="0">
                  <c:v>Замер 3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Лист1!$T$2:$T$6</c:f>
              <c:numCache>
                <c:formatCode>General</c:formatCode>
                <c:ptCount val="5"/>
                <c:pt idx="0">
                  <c:v>0.020000000000000018</c:v>
                </c:pt>
                <c:pt idx="1">
                  <c:v>0.7999999999999972</c:v>
                </c:pt>
                <c:pt idx="3">
                  <c:v>-0.1999999999999993</c:v>
                </c:pt>
                <c:pt idx="4">
                  <c:v>0.15000000000000036</c:v>
                </c:pt>
              </c:numCache>
            </c:numRef>
          </c:val>
        </c:ser>
        <c:ser>
          <c:idx val="3"/>
          <c:order val="3"/>
          <c:tx>
            <c:strRef>
              <c:f>Лист1!$U$1</c:f>
              <c:strCache>
                <c:ptCount val="1"/>
                <c:pt idx="0">
                  <c:v>Замер 4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Лист1!$U$2:$U$6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3">
                  <c:v>0.1800000000000006</c:v>
                </c:pt>
                <c:pt idx="4">
                  <c:v>0.40000000000000036</c:v>
                </c:pt>
              </c:numCache>
            </c:numRef>
          </c:val>
        </c:ser>
        <c:ser>
          <c:idx val="4"/>
          <c:order val="4"/>
          <c:tx>
            <c:strRef>
              <c:f>Лист1!$V$1</c:f>
              <c:strCache>
                <c:ptCount val="1"/>
                <c:pt idx="0">
                  <c:v>Замер 5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Лист1!$V$2:$V$6</c:f>
              <c:numCache>
                <c:formatCode>General</c:formatCode>
                <c:ptCount val="5"/>
                <c:pt idx="0">
                  <c:v>-0.010000000000000009</c:v>
                </c:pt>
                <c:pt idx="1">
                  <c:v>-1.5</c:v>
                </c:pt>
                <c:pt idx="3">
                  <c:v>-0.0699999999999994</c:v>
                </c:pt>
                <c:pt idx="4">
                  <c:v>0.3800000000000008</c:v>
                </c:pt>
              </c:numCache>
            </c:numRef>
          </c:val>
        </c:ser>
        <c:ser>
          <c:idx val="5"/>
          <c:order val="5"/>
          <c:tx>
            <c:strRef>
              <c:f>Лист1!$W$1</c:f>
              <c:strCache>
                <c:ptCount val="1"/>
                <c:pt idx="0">
                  <c:v>Замер 6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Лист1!$W$2:$W$6</c:f>
              <c:numCache>
                <c:formatCode>General</c:formatCode>
                <c:ptCount val="5"/>
                <c:pt idx="0">
                  <c:v>0.010000000000000009</c:v>
                </c:pt>
                <c:pt idx="1">
                  <c:v>0.7999999999999972</c:v>
                </c:pt>
                <c:pt idx="3">
                  <c:v>0.020000000000000462</c:v>
                </c:pt>
                <c:pt idx="4">
                  <c:v>0.22000000000000064</c:v>
                </c:pt>
              </c:numCache>
            </c:numRef>
          </c:val>
        </c:ser>
        <c:ser>
          <c:idx val="6"/>
          <c:order val="6"/>
          <c:tx>
            <c:strRef>
              <c:f>Лист1!$X$1</c:f>
              <c:strCache>
                <c:ptCount val="1"/>
                <c:pt idx="0">
                  <c:v>Замер 7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Лист1!$X$2:$X$6</c:f>
              <c:numCache>
                <c:formatCode>General</c:formatCode>
                <c:ptCount val="5"/>
                <c:pt idx="0">
                  <c:v>-0.020000000000000018</c:v>
                </c:pt>
                <c:pt idx="1">
                  <c:v>2</c:v>
                </c:pt>
                <c:pt idx="3">
                  <c:v>-0.09999999999999964</c:v>
                </c:pt>
                <c:pt idx="4">
                  <c:v>0.3100000000000005</c:v>
                </c:pt>
              </c:numCache>
            </c:numRef>
          </c:val>
        </c:ser>
        <c:ser>
          <c:idx val="7"/>
          <c:order val="7"/>
          <c:tx>
            <c:strRef>
              <c:f>Лист1!$Y$1</c:f>
              <c:strCache>
                <c:ptCount val="1"/>
                <c:pt idx="0">
                  <c:v>Замер 8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Лист1!$Y$2:$Y$6</c:f>
              <c:numCache>
                <c:formatCode>General</c:formatCode>
                <c:ptCount val="5"/>
                <c:pt idx="0">
                  <c:v>0</c:v>
                </c:pt>
                <c:pt idx="1">
                  <c:v>0.7999999999999972</c:v>
                </c:pt>
                <c:pt idx="3">
                  <c:v>-0.11999999999999922</c:v>
                </c:pt>
                <c:pt idx="4">
                  <c:v>0.2699999999999996</c:v>
                </c:pt>
              </c:numCache>
            </c:numRef>
          </c:val>
        </c:ser>
        <c:ser>
          <c:idx val="8"/>
          <c:order val="8"/>
          <c:tx>
            <c:strRef>
              <c:f>Лист1!$Z$1</c:f>
              <c:strCache>
                <c:ptCount val="1"/>
                <c:pt idx="0">
                  <c:v>Замер 9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Лист1!$Z$2:$Z$6</c:f>
              <c:numCache>
                <c:formatCode>General</c:formatCode>
                <c:ptCount val="5"/>
                <c:pt idx="0">
                  <c:v>0.020000000000000018</c:v>
                </c:pt>
                <c:pt idx="1">
                  <c:v>-1.5</c:v>
                </c:pt>
                <c:pt idx="3">
                  <c:v>0.08000000000000007</c:v>
                </c:pt>
                <c:pt idx="4">
                  <c:v>0.17999999999999972</c:v>
                </c:pt>
              </c:numCache>
            </c:numRef>
          </c:val>
        </c:ser>
        <c:ser>
          <c:idx val="9"/>
          <c:order val="9"/>
          <c:tx>
            <c:strRef>
              <c:f>Лист1!$AA$1</c:f>
              <c:strCache>
                <c:ptCount val="1"/>
                <c:pt idx="0">
                  <c:v>Замер 10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Лист1!$Q$2:$Q$6</c:f>
              <c:strCache>
                <c:ptCount val="5"/>
                <c:pt idx="0">
                  <c:v>1,5кОМ</c:v>
                </c:pt>
                <c:pt idx="1">
                  <c:v>56кОМ</c:v>
                </c:pt>
                <c:pt idx="2">
                  <c:v>31ГОм</c:v>
                </c:pt>
                <c:pt idx="3">
                  <c:v>5,1кОМ</c:v>
                </c:pt>
                <c:pt idx="4">
                  <c:v>10кОМ</c:v>
                </c:pt>
              </c:strCache>
            </c:strRef>
          </c:cat>
          <c:val>
            <c:numRef>
              <c:f>Лист1!$AA$2:$AA$6</c:f>
              <c:numCache>
                <c:formatCode>General</c:formatCode>
                <c:ptCount val="5"/>
                <c:pt idx="0">
                  <c:v>-0.030000000000000027</c:v>
                </c:pt>
                <c:pt idx="1">
                  <c:v>1.7999999999999972</c:v>
                </c:pt>
                <c:pt idx="3">
                  <c:v>-0.040000000000000036</c:v>
                </c:pt>
                <c:pt idx="4">
                  <c:v>0.34999999999999964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1684891423"/>
        <c:axId val="1684887103"/>
      </c:barChart>
      <c:catAx>
        <c:axId val="16848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4887103"/>
        <c:crosses val="autoZero"/>
        <c:auto val="1"/>
        <c:lblAlgn val="ctr"/>
        <c:lblOffset val="100"/>
        <c:noMultiLvlLbl val="0"/>
      </c:catAx>
      <c:valAx>
        <c:axId val="168488710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489142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21115563" y="0"/>
      <a:ext cx="4591049" cy="25526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'Лист1'!$D$11:$M$11</c:f>
              <c:numCache>
                <c:formatCode>General</c:formatCode>
                <c:ptCount val="10"/>
                <c:pt idx="0">
                  <c:v>54</c:v>
                </c:pt>
                <c:pt idx="1">
                  <c:v>55.2</c:v>
                </c:pt>
                <c:pt idx="2">
                  <c:v>56</c:v>
                </c:pt>
                <c:pt idx="3">
                  <c:v>54.8</c:v>
                </c:pt>
                <c:pt idx="4">
                  <c:v>56.2</c:v>
                </c:pt>
                <c:pt idx="5">
                  <c:v>55.5</c:v>
                </c:pt>
                <c:pt idx="6">
                  <c:v>55</c:v>
                </c:pt>
                <c:pt idx="7">
                  <c:v>55.1</c:v>
                </c:pt>
                <c:pt idx="8">
                  <c:v>55.5</c:v>
                </c:pt>
                <c:pt idx="9">
                  <c:v>54.8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25"/>
        <c:axId val="1866169526"/>
      </c:barChart>
      <c:catAx>
        <c:axId val="1866169525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  <a:p>
                <a:pPr>
                  <a:defRPr/>
                </a:pP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26"/>
        <c:crosses val="autoZero"/>
        <c:auto val="1"/>
        <c:lblAlgn val="ctr"/>
        <c:lblOffset val="100"/>
        <c:noMultiLvlLbl val="0"/>
      </c:catAx>
      <c:valAx>
        <c:axId val="186616952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2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1548818" y="10168908"/>
      <a:ext cx="6069756" cy="400131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'Лист1'!$C$14</c:f>
              <c:strCache>
                <c:ptCount val="1"/>
                <c:pt idx="0">
                  <c:v>10кОМ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'Лист1'!$D$14:$M$14</c:f>
              <c:numCache>
                <c:formatCode>General</c:formatCode>
                <c:ptCount val="10"/>
                <c:pt idx="0">
                  <c:v>10</c:v>
                </c:pt>
                <c:pt idx="1">
                  <c:v>9.98</c:v>
                </c:pt>
                <c:pt idx="2">
                  <c:v>10.2</c:v>
                </c:pt>
                <c:pt idx="3">
                  <c:v>10.1</c:v>
                </c:pt>
                <c:pt idx="4">
                  <c:v>9.9</c:v>
                </c:pt>
                <c:pt idx="5">
                  <c:v>10</c:v>
                </c:pt>
                <c:pt idx="6">
                  <c:v>10.1</c:v>
                </c:pt>
                <c:pt idx="7">
                  <c:v>10.3</c:v>
                </c:pt>
                <c:pt idx="8">
                  <c:v>10.2</c:v>
                </c:pt>
                <c:pt idx="9">
                  <c:v>10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41"/>
        <c:axId val="1866169542"/>
      </c:barChart>
      <c:catAx>
        <c:axId val="1866169541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  <a:p>
                <a:pPr>
                  <a:defRPr/>
                </a:pP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42"/>
        <c:crosses val="autoZero"/>
        <c:auto val="1"/>
        <c:lblAlgn val="ctr"/>
        <c:lblOffset val="100"/>
        <c:noMultiLvlLbl val="0"/>
      </c:catAx>
      <c:valAx>
        <c:axId val="186616954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4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1561697" y="14118380"/>
      <a:ext cx="6069756" cy="44334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3900"/>
          <c:y val="0.104970"/>
          <c:w val="0.932010"/>
          <c:h val="0.74613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'Лист1'!$C$11</c:f>
              <c:strCache>
                <c:ptCount val="1"/>
                <c:pt idx="0">
                  <c:v>56кОМ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'Лист1'!$D$11:$M$11</c:f>
              <c:numCache>
                <c:formatCode>General</c:formatCode>
                <c:ptCount val="10"/>
                <c:pt idx="0">
                  <c:v>54</c:v>
                </c:pt>
                <c:pt idx="1">
                  <c:v>55.2</c:v>
                </c:pt>
                <c:pt idx="2">
                  <c:v>56</c:v>
                </c:pt>
                <c:pt idx="3">
                  <c:v>54.8</c:v>
                </c:pt>
                <c:pt idx="4">
                  <c:v>56.2</c:v>
                </c:pt>
                <c:pt idx="5">
                  <c:v>55.5</c:v>
                </c:pt>
                <c:pt idx="6">
                  <c:v>55</c:v>
                </c:pt>
                <c:pt idx="7">
                  <c:v>55.1</c:v>
                </c:pt>
                <c:pt idx="8">
                  <c:v>55.5</c:v>
                </c:pt>
                <c:pt idx="9">
                  <c:v>54.8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55"/>
        <c:axId val="1866169556"/>
      </c:barChart>
      <c:catAx>
        <c:axId val="1866169555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  <a:p>
                <a:pPr>
                  <a:defRPr/>
                </a:pP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56"/>
        <c:crosses val="autoZero"/>
        <c:auto val="1"/>
        <c:lblAlgn val="ctr"/>
        <c:lblOffset val="100"/>
        <c:noMultiLvlLbl val="0"/>
      </c:catAx>
      <c:valAx>
        <c:axId val="186616955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5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1561697" y="6542920"/>
      <a:ext cx="6095513" cy="379721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66390"/>
          <c:y val="0.139700"/>
          <c:w val="0.921160"/>
          <c:h val="0.74856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'Лист1'!$C$10</c:f>
              <c:strCache>
                <c:ptCount val="1"/>
                <c:pt idx="0">
                  <c:v>1,5кОМ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'Лист1'!$D$10:$M$10</c:f>
              <c:numCache>
                <c:formatCode>General</c:formatCode>
                <c:ptCount val="10"/>
                <c:pt idx="0" formatCode="General">
                  <c:v>1.5</c:v>
                </c:pt>
                <c:pt idx="1" formatCode="General">
                  <c:v>1.52</c:v>
                </c:pt>
                <c:pt idx="2" formatCode="0.00">
                  <c:v>1.48</c:v>
                </c:pt>
                <c:pt idx="3" formatCode="General">
                  <c:v>1.49</c:v>
                </c:pt>
                <c:pt idx="4" formatCode="General">
                  <c:v>1.51</c:v>
                </c:pt>
                <c:pt idx="5" formatCode="General">
                  <c:v>1.5</c:v>
                </c:pt>
                <c:pt idx="6" formatCode="General">
                  <c:v>1.53</c:v>
                </c:pt>
                <c:pt idx="7" formatCode="General">
                  <c:v>1.47</c:v>
                </c:pt>
                <c:pt idx="8" formatCode="General">
                  <c:v>1.5</c:v>
                </c:pt>
                <c:pt idx="9" formatCode="General">
                  <c:v>1.52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63"/>
        <c:axId val="1866169564"/>
      </c:barChart>
      <c:catAx>
        <c:axId val="1866169563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64"/>
        <c:crosses val="autoZero"/>
        <c:auto val="1"/>
        <c:lblAlgn val="ctr"/>
        <c:lblOffset val="100"/>
        <c:noMultiLvlLbl val="0"/>
      </c:catAx>
      <c:valAx>
        <c:axId val="186616956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6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1464503" y="2717856"/>
      <a:ext cx="6290874" cy="371832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'Лист1'!$C$2</c:f>
              <c:strCache>
                <c:ptCount val="1"/>
                <c:pt idx="0">
                  <c:v>1,5кОМ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'Лист1'!$D$2:$M$2</c:f>
              <c:numCache>
                <c:formatCode>General</c:formatCode>
                <c:ptCount val="10"/>
                <c:pt idx="0" formatCode="General">
                  <c:v>1.54</c:v>
                </c:pt>
                <c:pt idx="1" formatCode="General">
                  <c:v>1.53</c:v>
                </c:pt>
                <c:pt idx="2" formatCode="0.00">
                  <c:v>1.52</c:v>
                </c:pt>
                <c:pt idx="3" formatCode="General">
                  <c:v>1.5</c:v>
                </c:pt>
                <c:pt idx="4" formatCode="General">
                  <c:v>1.49</c:v>
                </c:pt>
                <c:pt idx="5" formatCode="General">
                  <c:v>1.51</c:v>
                </c:pt>
                <c:pt idx="6" formatCode="General">
                  <c:v>1.48</c:v>
                </c:pt>
                <c:pt idx="7" formatCode="General">
                  <c:v>1.5</c:v>
                </c:pt>
                <c:pt idx="8" formatCode="General">
                  <c:v>1.52</c:v>
                </c:pt>
                <c:pt idx="9" formatCode="General">
                  <c:v>1.47</c:v>
                </c:pt>
              </c:numCache>
            </c:numRef>
          </c:val>
        </c:ser>
        <c:gapWidth val="219"/>
        <c:overlap val="-26"/>
        <c:axId val="1866169571"/>
        <c:axId val="1866169572"/>
      </c:barChart>
      <c:catAx>
        <c:axId val="186616957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Номер замера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72"/>
        <c:crosses val="autoZero"/>
        <c:auto val="1"/>
        <c:lblAlgn val="ctr"/>
        <c:lblOffset val="100"/>
        <c:tickMarkSkip val="1"/>
        <c:noMultiLvlLbl val="0"/>
      </c:catAx>
      <c:valAx>
        <c:axId val="18661695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txPr>
            <a:bodyPr/>
            <a:p>
              <a:pPr>
                <a:defRPr/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5144178" y="2782806"/>
      <a:ext cx="6270171" cy="3488725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'Лист1'!$C$3</c:f>
              <c:strCache>
                <c:ptCount val="1"/>
                <c:pt idx="0">
                  <c:v>56кОМ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'Лист1'!$D$3:$M$3</c:f>
              <c:numCache>
                <c:formatCode>General</c:formatCode>
                <c:ptCount val="10"/>
                <c:pt idx="0">
                  <c:v>56.8</c:v>
                </c:pt>
                <c:pt idx="1">
                  <c:v>58</c:v>
                </c:pt>
                <c:pt idx="2">
                  <c:v>56.8</c:v>
                </c:pt>
                <c:pt idx="3">
                  <c:v>56.5</c:v>
                </c:pt>
                <c:pt idx="4">
                  <c:v>54.5</c:v>
                </c:pt>
                <c:pt idx="5">
                  <c:v>56.8</c:v>
                </c:pt>
                <c:pt idx="6">
                  <c:v>58</c:v>
                </c:pt>
                <c:pt idx="7">
                  <c:v>56.8</c:v>
                </c:pt>
                <c:pt idx="8">
                  <c:v>54.5</c:v>
                </c:pt>
                <c:pt idx="9">
                  <c:v>57.8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79"/>
        <c:axId val="1866169580"/>
      </c:barChart>
      <c:catAx>
        <c:axId val="1866169579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  <a:p>
                <a:pPr>
                  <a:defRPr/>
                </a:pP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80"/>
        <c:crosses val="autoZero"/>
        <c:auto val="1"/>
        <c:lblAlgn val="ctr"/>
        <c:lblOffset val="100"/>
        <c:noMultiLvlLbl val="0"/>
      </c:catAx>
      <c:valAx>
        <c:axId val="18661695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5118229" y="6633481"/>
      <a:ext cx="6509073" cy="398008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'Лист1'!$C$5</c:f>
              <c:strCache>
                <c:ptCount val="1"/>
                <c:pt idx="0">
                  <c:v>5,1кОМ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'Лист1'!$D$5:$M$5</c:f>
              <c:numCache>
                <c:formatCode>General</c:formatCode>
                <c:ptCount val="10"/>
                <c:pt idx="0">
                  <c:v>5.07</c:v>
                </c:pt>
                <c:pt idx="1">
                  <c:v>5.03</c:v>
                </c:pt>
                <c:pt idx="2">
                  <c:v>4.9</c:v>
                </c:pt>
                <c:pt idx="3">
                  <c:v>5.28</c:v>
                </c:pt>
                <c:pt idx="4">
                  <c:v>5.03</c:v>
                </c:pt>
                <c:pt idx="5">
                  <c:v>5.12</c:v>
                </c:pt>
                <c:pt idx="6">
                  <c:v>5</c:v>
                </c:pt>
                <c:pt idx="7">
                  <c:v>4.98</c:v>
                </c:pt>
                <c:pt idx="8">
                  <c:v>5.18</c:v>
                </c:pt>
                <c:pt idx="9">
                  <c:v>5.06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87"/>
        <c:axId val="1866169588"/>
      </c:barChart>
      <c:catAx>
        <c:axId val="1866169587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  <a:p>
                <a:pPr>
                  <a:defRPr/>
                </a:pP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88"/>
        <c:crosses val="autoZero"/>
        <c:auto val="1"/>
        <c:lblAlgn val="ctr"/>
        <c:lblOffset val="100"/>
        <c:noMultiLvlLbl val="0"/>
      </c:catAx>
      <c:valAx>
        <c:axId val="18661695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5091014" y="10283111"/>
      <a:ext cx="6352348" cy="420509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'Лист1'!$C$6</c:f>
              <c:strCache>
                <c:ptCount val="1"/>
                <c:pt idx="0">
                  <c:v>10кОМ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'Лист1'!$D$6:$M$6</c:f>
              <c:numCache>
                <c:formatCode>General</c:formatCode>
                <c:ptCount val="10"/>
                <c:pt idx="0">
                  <c:v>10.3</c:v>
                </c:pt>
                <c:pt idx="1">
                  <c:v>10.2</c:v>
                </c:pt>
                <c:pt idx="2">
                  <c:v>10.15</c:v>
                </c:pt>
                <c:pt idx="3">
                  <c:v>10.4</c:v>
                </c:pt>
                <c:pt idx="4">
                  <c:v>10.38</c:v>
                </c:pt>
                <c:pt idx="5">
                  <c:v>10.22</c:v>
                </c:pt>
                <c:pt idx="6">
                  <c:v>10.31</c:v>
                </c:pt>
                <c:pt idx="7">
                  <c:v>10.27</c:v>
                </c:pt>
                <c:pt idx="8">
                  <c:v>10.18</c:v>
                </c:pt>
                <c:pt idx="9">
                  <c:v>10.35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595"/>
        <c:axId val="1866169596"/>
      </c:barChart>
      <c:catAx>
        <c:axId val="1866169595"/>
        <c:scaling>
          <c:orientation val="minMax"/>
        </c:scaling>
        <c:delete val="0"/>
        <c:axPos val="b"/>
        <c:title>
          <c:tx>
            <c:rich>
              <a:bodyPr/>
              <a:p>
                <a:pPr marL="0" marR="0" indent="0">
                  <a:defRPr/>
                </a:pPr>
                <a:r>
                  <a:rPr sz="1000" b="1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Номер замера</a:t>
                </a:r>
                <a:endParaRPr sz="1200"/>
              </a:p>
              <a:p>
                <a:pPr>
                  <a:defRPr/>
                </a:pP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6"/>
        <c:crosses val="autoZero"/>
        <c:auto val="1"/>
        <c:lblAlgn val="ctr"/>
        <c:lblOffset val="100"/>
        <c:noMultiLvlLbl val="0"/>
      </c:catAx>
      <c:valAx>
        <c:axId val="186616959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кОм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5065257" y="14597061"/>
      <a:ext cx="6470682" cy="402722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Relationship Id="rId10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32</xdr:col>
      <xdr:colOff>541564</xdr:colOff>
      <xdr:row>14</xdr:row>
      <xdr:rowOff>57148</xdr:rowOff>
    </xdr:from>
    <xdr:to>
      <xdr:col>40</xdr:col>
      <xdr:colOff>265419</xdr:colOff>
      <xdr:row>22</xdr:row>
      <xdr:rowOff>43701</xdr:rowOff>
    </xdr:to>
    <xdr:graphicFrame>
      <xdr:nvGraphicFramePr>
        <xdr:cNvPr id="4" name="Диаграмма 3"/>
        <xdr:cNvGraphicFramePr>
          <a:graphicFrameLocks xmlns:a="http://schemas.openxmlformats.org/drawingml/2006/main"/>
        </xdr:cNvGraphicFramePr>
      </xdr:nvGraphicFramePr>
      <xdr:xfrm rot="0">
        <a:off x="21115563" y="2533648"/>
        <a:ext cx="4622426" cy="247665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32</xdr:col>
      <xdr:colOff>541564</xdr:colOff>
      <xdr:row>0</xdr:row>
      <xdr:rowOff>0</xdr:rowOff>
    </xdr:from>
    <xdr:to>
      <xdr:col>40</xdr:col>
      <xdr:colOff>234042</xdr:colOff>
      <xdr:row>14</xdr:row>
      <xdr:rowOff>76199</xdr:rowOff>
    </xdr:to>
    <xdr:graphicFrame>
      <xdr:nvGraphicFramePr>
        <xdr:cNvPr id="6" name="Диаграмма 5"/>
        <xdr:cNvGraphicFramePr>
          <a:graphicFrameLocks xmlns:a="http://schemas.openxmlformats.org/drawingml/2006/main"/>
        </xdr:cNvGraphicFramePr>
      </xdr:nvGraphicFramePr>
      <xdr:xfrm rot="0">
        <a:off x="21115563" y="0"/>
        <a:ext cx="4591049" cy="25526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17</xdr:col>
      <xdr:colOff>251002</xdr:colOff>
      <xdr:row>50</xdr:row>
      <xdr:rowOff>91846</xdr:rowOff>
    </xdr:from>
    <xdr:to>
      <xdr:col>27</xdr:col>
      <xdr:colOff>255861</xdr:colOff>
      <xdr:row>72</xdr:row>
      <xdr:rowOff>158748</xdr:rowOff>
    </xdr:to>
    <xdr:graphicFrame>
      <xdr:nvGraphicFramePr>
        <xdr:cNvPr id="1997815169" name=""/>
        <xdr:cNvGraphicFramePr>
          <a:graphicFrameLocks xmlns:a="http://schemas.openxmlformats.org/drawingml/2006/main"/>
        </xdr:cNvGraphicFramePr>
      </xdr:nvGraphicFramePr>
      <xdr:xfrm rot="0" flipH="0" flipV="0">
        <a:off x="11548818" y="10168908"/>
        <a:ext cx="6069756" cy="4001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17</xdr:col>
      <xdr:colOff>263880</xdr:colOff>
      <xdr:row>72</xdr:row>
      <xdr:rowOff>106911</xdr:rowOff>
    </xdr:from>
    <xdr:to>
      <xdr:col>27</xdr:col>
      <xdr:colOff>268739</xdr:colOff>
      <xdr:row>97</xdr:row>
      <xdr:rowOff>63271</xdr:rowOff>
    </xdr:to>
    <xdr:graphicFrame>
      <xdr:nvGraphicFramePr>
        <xdr:cNvPr id="967955222" name=""/>
        <xdr:cNvGraphicFramePr>
          <a:graphicFrameLocks xmlns:a="http://schemas.openxmlformats.org/drawingml/2006/main"/>
        </xdr:cNvGraphicFramePr>
      </xdr:nvGraphicFramePr>
      <xdr:xfrm rot="0" flipH="0" flipV="0">
        <a:off x="11561697" y="14118380"/>
        <a:ext cx="6069756" cy="44334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17</xdr:col>
      <xdr:colOff>263880</xdr:colOff>
      <xdr:row>30</xdr:row>
      <xdr:rowOff>42593</xdr:rowOff>
    </xdr:from>
    <xdr:to>
      <xdr:col>27</xdr:col>
      <xdr:colOff>294496</xdr:colOff>
      <xdr:row>51</xdr:row>
      <xdr:rowOff>84233</xdr:rowOff>
    </xdr:to>
    <xdr:graphicFrame>
      <xdr:nvGraphicFramePr>
        <xdr:cNvPr id="991546507" name=""/>
        <xdr:cNvGraphicFramePr>
          <a:graphicFrameLocks xmlns:a="http://schemas.openxmlformats.org/drawingml/2006/main"/>
        </xdr:cNvGraphicFramePr>
      </xdr:nvGraphicFramePr>
      <xdr:xfrm rot="0" flipH="0" flipV="0">
        <a:off x="11561697" y="6542920"/>
        <a:ext cx="6095513" cy="3797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17</xdr:col>
      <xdr:colOff>166686</xdr:colOff>
      <xdr:row>15</xdr:row>
      <xdr:rowOff>35304</xdr:rowOff>
    </xdr:from>
    <xdr:to>
      <xdr:col>27</xdr:col>
      <xdr:colOff>392663</xdr:colOff>
      <xdr:row>29</xdr:row>
      <xdr:rowOff>114688</xdr:rowOff>
    </xdr:to>
    <xdr:graphicFrame>
      <xdr:nvGraphicFramePr>
        <xdr:cNvPr id="1324118426" name=""/>
        <xdr:cNvGraphicFramePr>
          <a:graphicFrameLocks xmlns:a="http://schemas.openxmlformats.org/drawingml/2006/main"/>
        </xdr:cNvGraphicFramePr>
      </xdr:nvGraphicFramePr>
      <xdr:xfrm rot="0" flipH="0" flipV="0">
        <a:off x="11464503" y="2717856"/>
        <a:ext cx="6290874" cy="371832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6</xdr:col>
      <xdr:colOff>506864</xdr:colOff>
      <xdr:row>15</xdr:row>
      <xdr:rowOff>88591</xdr:rowOff>
    </xdr:from>
    <xdr:to>
      <xdr:col>17</xdr:col>
      <xdr:colOff>71436</xdr:colOff>
      <xdr:row>28</xdr:row>
      <xdr:rowOff>115659</xdr:rowOff>
    </xdr:to>
    <xdr:graphicFrame>
      <xdr:nvGraphicFramePr>
        <xdr:cNvPr id="758297583" name=""/>
        <xdr:cNvGraphicFramePr>
          <a:graphicFrameLocks xmlns:a="http://schemas.openxmlformats.org/drawingml/2006/main"/>
        </xdr:cNvGraphicFramePr>
      </xdr:nvGraphicFramePr>
      <xdr:xfrm rot="0" flipH="0" flipV="0">
        <a:off x="5144178" y="2782806"/>
        <a:ext cx="6270171" cy="348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twoCell">
    <xdr:from>
      <xdr:col>6</xdr:col>
      <xdr:colOff>464586</xdr:colOff>
      <xdr:row>28</xdr:row>
      <xdr:rowOff>115660</xdr:rowOff>
    </xdr:from>
    <xdr:to>
      <xdr:col>17</xdr:col>
      <xdr:colOff>238124</xdr:colOff>
      <xdr:row>51</xdr:row>
      <xdr:rowOff>27214</xdr:rowOff>
    </xdr:to>
    <xdr:graphicFrame>
      <xdr:nvGraphicFramePr>
        <xdr:cNvPr id="480780351" name=""/>
        <xdr:cNvGraphicFramePr>
          <a:graphicFrameLocks xmlns:a="http://schemas.openxmlformats.org/drawingml/2006/main"/>
        </xdr:cNvGraphicFramePr>
      </xdr:nvGraphicFramePr>
      <xdr:xfrm rot="0" flipH="0" flipV="0">
        <a:off x="5118229" y="6633481"/>
        <a:ext cx="6509073" cy="398008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twoCell">
    <xdr:from>
      <xdr:col>6</xdr:col>
      <xdr:colOff>464585</xdr:colOff>
      <xdr:row>51</xdr:row>
      <xdr:rowOff>27213</xdr:rowOff>
    </xdr:from>
    <xdr:to>
      <xdr:col>17</xdr:col>
      <xdr:colOff>145546</xdr:colOff>
      <xdr:row>74</xdr:row>
      <xdr:rowOff>119061</xdr:rowOff>
    </xdr:to>
    <xdr:graphicFrame>
      <xdr:nvGraphicFramePr>
        <xdr:cNvPr id="477745894" name=""/>
        <xdr:cNvGraphicFramePr>
          <a:graphicFrameLocks xmlns:a="http://schemas.openxmlformats.org/drawingml/2006/main"/>
        </xdr:cNvGraphicFramePr>
      </xdr:nvGraphicFramePr>
      <xdr:xfrm rot="0" flipH="0" flipV="0">
        <a:off x="5091014" y="10283111"/>
        <a:ext cx="6352348" cy="420509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twoCell">
    <xdr:from>
      <xdr:col>6</xdr:col>
      <xdr:colOff>438828</xdr:colOff>
      <xdr:row>75</xdr:row>
      <xdr:rowOff>49082</xdr:rowOff>
    </xdr:from>
    <xdr:to>
      <xdr:col>17</xdr:col>
      <xdr:colOff>238123</xdr:colOff>
      <xdr:row>97</xdr:row>
      <xdr:rowOff>141901</xdr:rowOff>
    </xdr:to>
    <xdr:graphicFrame>
      <xdr:nvGraphicFramePr>
        <xdr:cNvPr id="2087353795" name=""/>
        <xdr:cNvGraphicFramePr>
          <a:graphicFrameLocks xmlns:a="http://schemas.openxmlformats.org/drawingml/2006/main"/>
        </xdr:cNvGraphicFramePr>
      </xdr:nvGraphicFramePr>
      <xdr:xfrm rot="0" flipH="0" flipV="0">
        <a:off x="5065257" y="14597061"/>
        <a:ext cx="6470682" cy="402722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23" zoomScale="100" workbookViewId="0">
      <selection activeCell="M14" activeCellId="0" sqref="A9:M14"/>
    </sheetView>
  </sheetViews>
  <sheetFormatPr defaultRowHeight="14.25"/>
  <cols>
    <col bestFit="1" customWidth="1" min="3" max="3" width="9.7109375"/>
    <col bestFit="1" customWidth="1" min="4" max="4" width="15.28515625"/>
    <col bestFit="1" customWidth="1" min="5" max="5" width="11"/>
    <col bestFit="1" customWidth="1" min="6" max="6" width="15.2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>
      <c r="A2">
        <v>1</v>
      </c>
      <c r="B2" t="s">
        <v>13</v>
      </c>
      <c r="C2" t="s">
        <v>14</v>
      </c>
      <c r="D2">
        <v>1.54</v>
      </c>
      <c r="E2">
        <v>1.53</v>
      </c>
      <c r="F2" s="2">
        <v>1.52</v>
      </c>
      <c r="G2">
        <v>1.5</v>
      </c>
      <c r="H2">
        <v>1.49</v>
      </c>
      <c r="I2">
        <v>1.51</v>
      </c>
      <c r="J2">
        <v>1.48</v>
      </c>
      <c r="K2">
        <v>1.5</v>
      </c>
      <c r="L2">
        <v>1.52</v>
      </c>
      <c r="M2">
        <v>1.47</v>
      </c>
      <c r="O2" s="1">
        <v>1</v>
      </c>
      <c r="P2" s="1" t="s">
        <v>13</v>
      </c>
      <c r="Q2" s="1" t="s">
        <v>14</v>
      </c>
      <c r="R2" s="1">
        <f>D2-1.5</f>
        <v>0.040000000000000036</v>
      </c>
      <c r="S2" s="1">
        <f>E2-1.5</f>
        <v>0.030000000000000027</v>
      </c>
      <c r="T2" s="1">
        <f t="shared" ref="S2:AA2" si="0">F2-1.5</f>
        <v>0.020000000000000018</v>
      </c>
      <c r="U2" s="1">
        <f t="shared" si="0"/>
        <v>0</v>
      </c>
      <c r="V2" s="1">
        <f t="shared" si="0"/>
        <v>-0.010000000000000009</v>
      </c>
      <c r="W2" s="1">
        <f t="shared" si="0"/>
        <v>0.010000000000000009</v>
      </c>
      <c r="X2" s="1">
        <f t="shared" si="0"/>
        <v>-0.020000000000000018</v>
      </c>
      <c r="Y2" s="1">
        <f t="shared" si="0"/>
        <v>0</v>
      </c>
      <c r="Z2" s="1">
        <f t="shared" si="0"/>
        <v>0.020000000000000018</v>
      </c>
      <c r="AA2" s="1">
        <f t="shared" si="0"/>
        <v>-0.030000000000000027</v>
      </c>
    </row>
    <row r="3">
      <c r="A3">
        <v>2</v>
      </c>
      <c r="B3" t="s">
        <v>15</v>
      </c>
      <c r="C3" t="s">
        <v>16</v>
      </c>
      <c r="D3">
        <v>56.799999999999997</v>
      </c>
      <c r="E3">
        <v>58</v>
      </c>
      <c r="F3">
        <v>56.799999999999997</v>
      </c>
      <c r="G3">
        <v>56.5</v>
      </c>
      <c r="H3">
        <v>54.5</v>
      </c>
      <c r="I3">
        <v>56.799999999999997</v>
      </c>
      <c r="J3">
        <v>58</v>
      </c>
      <c r="K3">
        <v>56.799999999999997</v>
      </c>
      <c r="L3">
        <v>54.5</v>
      </c>
      <c r="M3">
        <v>57.799999999999997</v>
      </c>
      <c r="O3" s="1">
        <v>2</v>
      </c>
      <c r="P3" s="1" t="s">
        <v>15</v>
      </c>
      <c r="Q3" s="1" t="s">
        <v>16</v>
      </c>
      <c r="R3" s="1">
        <f>D3-56</f>
        <v>0.79999999999999716</v>
      </c>
      <c r="S3" s="1">
        <f t="shared" ref="S3:AA3" si="1">E3-56</f>
        <v>2</v>
      </c>
      <c r="T3" s="1">
        <f t="shared" si="1"/>
        <v>0.79999999999999716</v>
      </c>
      <c r="U3" s="1">
        <f t="shared" si="1"/>
        <v>0.5</v>
      </c>
      <c r="V3" s="1">
        <f t="shared" si="1"/>
        <v>-1.5</v>
      </c>
      <c r="W3" s="1">
        <f t="shared" si="1"/>
        <v>0.79999999999999716</v>
      </c>
      <c r="X3" s="1">
        <f t="shared" si="1"/>
        <v>2</v>
      </c>
      <c r="Y3" s="1">
        <f t="shared" si="1"/>
        <v>0.79999999999999716</v>
      </c>
      <c r="Z3" s="1">
        <f t="shared" si="1"/>
        <v>-1.5</v>
      </c>
      <c r="AA3" s="1">
        <f t="shared" si="1"/>
        <v>1.7999999999999972</v>
      </c>
    </row>
    <row r="4">
      <c r="A4">
        <v>3</v>
      </c>
      <c r="B4" t="s">
        <v>17</v>
      </c>
      <c r="C4" t="s">
        <v>18</v>
      </c>
      <c r="O4" s="1">
        <v>3</v>
      </c>
      <c r="P4" s="1" t="s">
        <v>17</v>
      </c>
      <c r="Q4" s="1" t="s">
        <v>18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>
        <v>4</v>
      </c>
      <c r="B5" t="s">
        <v>19</v>
      </c>
      <c r="C5" t="s">
        <v>20</v>
      </c>
      <c r="D5">
        <v>5.0700000000000003</v>
      </c>
      <c r="E5">
        <v>5.0300000000000002</v>
      </c>
      <c r="F5">
        <v>4.9000000000000004</v>
      </c>
      <c r="G5">
        <v>5.2800000000000002</v>
      </c>
      <c r="H5">
        <v>5.0300000000000002</v>
      </c>
      <c r="I5">
        <v>5.1200000000000001</v>
      </c>
      <c r="J5">
        <v>5</v>
      </c>
      <c r="K5">
        <v>4.9800000000000004</v>
      </c>
      <c r="L5">
        <v>5.1799999999999997</v>
      </c>
      <c r="M5">
        <v>5.0599999999999996</v>
      </c>
      <c r="O5" s="1">
        <v>4</v>
      </c>
      <c r="P5" s="1" t="s">
        <v>19</v>
      </c>
      <c r="Q5" s="1" t="s">
        <v>20</v>
      </c>
      <c r="R5" s="1">
        <f>D5-5.1</f>
        <v>-0.029999999999999361</v>
      </c>
      <c r="S5" s="1">
        <f t="shared" ref="S5:AA5" si="2">E5-5.1</f>
        <v>-0.069999999999999396</v>
      </c>
      <c r="T5" s="1">
        <f t="shared" si="2"/>
        <v>-0.19999999999999929</v>
      </c>
      <c r="U5" s="1">
        <f t="shared" si="2"/>
        <v>0.1800000000000006</v>
      </c>
      <c r="V5" s="1">
        <f t="shared" si="2"/>
        <v>-0.069999999999999396</v>
      </c>
      <c r="W5" s="1">
        <f t="shared" si="2"/>
        <v>0.020000000000000462</v>
      </c>
      <c r="X5" s="1">
        <f t="shared" si="2"/>
        <v>-0.099999999999999645</v>
      </c>
      <c r="Y5" s="1">
        <f t="shared" si="2"/>
        <v>-0.11999999999999922</v>
      </c>
      <c r="Z5" s="1">
        <f t="shared" si="2"/>
        <v>0.080000000000000071</v>
      </c>
      <c r="AA5" s="1">
        <f t="shared" si="2"/>
        <v>-0.040000000000000036</v>
      </c>
    </row>
    <row r="6">
      <c r="A6">
        <v>5</v>
      </c>
      <c r="B6" t="s">
        <v>21</v>
      </c>
      <c r="C6" t="s">
        <v>22</v>
      </c>
      <c r="D6">
        <v>10.300000000000001</v>
      </c>
      <c r="E6">
        <v>10.199999999999999</v>
      </c>
      <c r="F6">
        <v>10.15</v>
      </c>
      <c r="G6">
        <v>10.4</v>
      </c>
      <c r="H6">
        <v>10.380000000000001</v>
      </c>
      <c r="I6">
        <v>10.220000000000001</v>
      </c>
      <c r="J6">
        <v>10.31</v>
      </c>
      <c r="K6">
        <v>10.27</v>
      </c>
      <c r="L6">
        <v>10.18</v>
      </c>
      <c r="M6">
        <v>10.35</v>
      </c>
      <c r="O6" s="1">
        <v>5</v>
      </c>
      <c r="P6" s="1" t="s">
        <v>21</v>
      </c>
      <c r="Q6" s="1" t="s">
        <v>22</v>
      </c>
      <c r="R6" s="1">
        <f>D6-10</f>
        <v>0.30000000000000071</v>
      </c>
      <c r="S6" s="1">
        <f t="shared" ref="S6:AA6" si="3">E6-10</f>
        <v>0.19999999999999929</v>
      </c>
      <c r="T6" s="1">
        <f t="shared" si="3"/>
        <v>0.15000000000000036</v>
      </c>
      <c r="U6" s="1">
        <f t="shared" si="3"/>
        <v>0.40000000000000036</v>
      </c>
      <c r="V6" s="1">
        <f t="shared" si="3"/>
        <v>0.38000000000000078</v>
      </c>
      <c r="W6" s="1">
        <f t="shared" si="3"/>
        <v>0.22000000000000064</v>
      </c>
      <c r="X6" s="1">
        <f t="shared" si="3"/>
        <v>0.3100000000000005</v>
      </c>
      <c r="Y6" s="1">
        <f t="shared" si="3"/>
        <v>0.26999999999999957</v>
      </c>
      <c r="Z6" s="1">
        <f t="shared" si="3"/>
        <v>0.17999999999999972</v>
      </c>
      <c r="AA6" s="1">
        <f t="shared" si="3"/>
        <v>0.34999999999999964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O9" s="1" t="s">
        <v>0</v>
      </c>
      <c r="P9" s="1" t="s">
        <v>1</v>
      </c>
      <c r="Q9" s="1" t="s">
        <v>2</v>
      </c>
      <c r="R9" s="1" t="s">
        <v>3</v>
      </c>
      <c r="S9" s="1" t="s">
        <v>4</v>
      </c>
      <c r="T9" s="1" t="s">
        <v>5</v>
      </c>
      <c r="U9" s="1" t="s">
        <v>6</v>
      </c>
      <c r="V9" s="1" t="s">
        <v>7</v>
      </c>
      <c r="W9" s="1" t="s">
        <v>8</v>
      </c>
      <c r="X9" s="1" t="s">
        <v>9</v>
      </c>
      <c r="Y9" s="1" t="s">
        <v>10</v>
      </c>
      <c r="Z9" s="1" t="s">
        <v>11</v>
      </c>
      <c r="AA9" s="1" t="s">
        <v>12</v>
      </c>
    </row>
    <row r="10">
      <c r="A10" s="1">
        <v>1</v>
      </c>
      <c r="B10" t="s">
        <v>13</v>
      </c>
      <c r="C10" t="s">
        <v>14</v>
      </c>
      <c r="D10" s="1">
        <v>1.5</v>
      </c>
      <c r="E10" s="1">
        <v>1.52</v>
      </c>
      <c r="F10" s="2">
        <v>1.48</v>
      </c>
      <c r="G10" s="1">
        <v>1.49</v>
      </c>
      <c r="H10" s="1">
        <v>1.51</v>
      </c>
      <c r="I10" s="1">
        <v>1.5</v>
      </c>
      <c r="J10" s="1">
        <v>1.53</v>
      </c>
      <c r="K10" s="1">
        <v>1.47</v>
      </c>
      <c r="L10" s="1">
        <v>1.5</v>
      </c>
      <c r="M10" s="1">
        <v>1.52</v>
      </c>
      <c r="O10" s="1">
        <v>1</v>
      </c>
      <c r="P10" s="1" t="s">
        <v>13</v>
      </c>
      <c r="Q10" s="1" t="s">
        <v>14</v>
      </c>
      <c r="R10" s="1">
        <f>D10-1.5</f>
        <v>0</v>
      </c>
      <c r="S10" s="1">
        <f>E10-1.5</f>
        <v>0.020000000000000018</v>
      </c>
      <c r="T10" s="1">
        <f>F10-1.5</f>
        <v>-0.020000000000000018</v>
      </c>
      <c r="U10" s="1">
        <f>G10-1.5</f>
        <v>-0.010000000000000009</v>
      </c>
      <c r="V10" s="1">
        <f>H10-1.5</f>
        <v>0.010000000000000009</v>
      </c>
      <c r="W10" s="1">
        <f>I10-1.5</f>
        <v>0</v>
      </c>
      <c r="X10" s="1">
        <f>J10-1.5</f>
        <v>0.030000000000000027</v>
      </c>
      <c r="Y10" s="1">
        <f>K10-1.5</f>
        <v>-0.030000000000000027</v>
      </c>
      <c r="Z10" s="1">
        <f>L10-1.5</f>
        <v>0</v>
      </c>
      <c r="AA10" s="1">
        <f>M10-1.5</f>
        <v>0.020000000000000018</v>
      </c>
    </row>
    <row r="11">
      <c r="A11" s="1">
        <v>2</v>
      </c>
      <c r="B11" t="s">
        <v>15</v>
      </c>
      <c r="C11" t="s">
        <v>16</v>
      </c>
      <c r="D11" s="1">
        <v>54</v>
      </c>
      <c r="E11" s="1">
        <v>55.200000000000003</v>
      </c>
      <c r="F11" s="1">
        <v>56</v>
      </c>
      <c r="G11" s="1">
        <v>54.799999999999997</v>
      </c>
      <c r="H11" s="1">
        <v>56.200000000000003</v>
      </c>
      <c r="I11" s="1">
        <v>55.5</v>
      </c>
      <c r="J11" s="1">
        <v>55</v>
      </c>
      <c r="K11" s="1">
        <v>55.100000000000001</v>
      </c>
      <c r="L11" s="1">
        <v>55.5</v>
      </c>
      <c r="M11" s="1">
        <v>54.799999999999997</v>
      </c>
      <c r="O11" s="1">
        <v>2</v>
      </c>
      <c r="P11" s="1" t="s">
        <v>15</v>
      </c>
      <c r="Q11" s="1" t="s">
        <v>16</v>
      </c>
      <c r="R11" s="1">
        <f>D11-56</f>
        <v>-2</v>
      </c>
      <c r="S11" s="1">
        <f>E11-56</f>
        <v>-0.79999999999999716</v>
      </c>
      <c r="T11" s="1">
        <f>F11-56</f>
        <v>0</v>
      </c>
      <c r="U11" s="1">
        <f>G11-56</f>
        <v>-1.2000000000000028</v>
      </c>
      <c r="V11" s="1">
        <f>H11-56</f>
        <v>0.20000000000000284</v>
      </c>
      <c r="W11" s="1">
        <f>I11-56</f>
        <v>-0.5</v>
      </c>
      <c r="X11" s="1">
        <f>J11-56</f>
        <v>-1</v>
      </c>
      <c r="Y11" s="1">
        <f>K11-56</f>
        <v>-0.89999999999999858</v>
      </c>
      <c r="Z11" s="1">
        <f>L11-56</f>
        <v>-0.5</v>
      </c>
      <c r="AA11" s="1">
        <f>M11-56</f>
        <v>-1.2000000000000028</v>
      </c>
    </row>
    <row r="12">
      <c r="A12" s="1">
        <v>3</v>
      </c>
      <c r="B12" t="s">
        <v>17</v>
      </c>
      <c r="C12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O12" s="1">
        <v>3</v>
      </c>
      <c r="P12" s="1" t="s">
        <v>17</v>
      </c>
      <c r="Q12" s="1" t="s">
        <v>18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>
        <v>4</v>
      </c>
      <c r="B13" t="s">
        <v>19</v>
      </c>
      <c r="C13" t="s">
        <v>20</v>
      </c>
      <c r="D13" s="1">
        <v>5</v>
      </c>
      <c r="E13" s="1">
        <v>4.9000000000000004</v>
      </c>
      <c r="F13" s="1">
        <v>5.0999999999999996</v>
      </c>
      <c r="G13" s="1">
        <v>5.2000000000000002</v>
      </c>
      <c r="H13" s="1">
        <v>4.7999999999999998</v>
      </c>
      <c r="I13" s="1">
        <v>5</v>
      </c>
      <c r="J13" s="1">
        <v>5.0999999999999996</v>
      </c>
      <c r="K13" s="1">
        <v>5</v>
      </c>
      <c r="L13" s="1">
        <v>4.9000000000000004</v>
      </c>
      <c r="M13" s="1">
        <v>5.2000000000000002</v>
      </c>
      <c r="O13" s="1">
        <v>4</v>
      </c>
      <c r="P13" s="1" t="s">
        <v>19</v>
      </c>
      <c r="Q13" s="1" t="s">
        <v>20</v>
      </c>
      <c r="R13" s="1">
        <f>D13-5.1</f>
        <v>-0.099999999999999645</v>
      </c>
      <c r="S13" s="1">
        <f>E13-5.1</f>
        <v>-0.19999999999999929</v>
      </c>
      <c r="T13" s="1">
        <f>F13-5.1</f>
        <v>0</v>
      </c>
      <c r="U13" s="1">
        <f>G13-5.1</f>
        <v>0.10000000000000053</v>
      </c>
      <c r="V13" s="1">
        <f>H13-5.1</f>
        <v>-0.29999999999999982</v>
      </c>
      <c r="W13" s="1">
        <f>I13-5.1</f>
        <v>-0.099999999999999645</v>
      </c>
      <c r="X13" s="1">
        <f>J13-5.1</f>
        <v>0</v>
      </c>
      <c r="Y13" s="1">
        <f>K13-5.1</f>
        <v>-0.099999999999999645</v>
      </c>
      <c r="Z13" s="1">
        <f>L13-5.1</f>
        <v>-0.19999999999999929</v>
      </c>
      <c r="AA13" s="1">
        <f>M13-5.1</f>
        <v>0.10000000000000053</v>
      </c>
    </row>
    <row r="14">
      <c r="A14" s="1">
        <v>5</v>
      </c>
      <c r="B14" t="s">
        <v>21</v>
      </c>
      <c r="C14" t="s">
        <v>22</v>
      </c>
      <c r="D14" s="1">
        <v>10</v>
      </c>
      <c r="E14" s="1">
        <v>9.9800000000000004</v>
      </c>
      <c r="F14" s="1">
        <v>10.199999999999999</v>
      </c>
      <c r="G14" s="1">
        <v>10.1</v>
      </c>
      <c r="H14" s="1">
        <v>9.9000000000000004</v>
      </c>
      <c r="I14" s="1">
        <v>10</v>
      </c>
      <c r="J14" s="1">
        <v>10.1</v>
      </c>
      <c r="K14" s="1">
        <v>10.300000000000001</v>
      </c>
      <c r="L14" s="1">
        <v>10.199999999999999</v>
      </c>
      <c r="M14" s="1">
        <v>10</v>
      </c>
      <c r="O14" s="1">
        <v>5</v>
      </c>
      <c r="P14" s="1" t="s">
        <v>21</v>
      </c>
      <c r="Q14" s="1" t="s">
        <v>22</v>
      </c>
      <c r="R14" s="1">
        <f>D14-10</f>
        <v>0</v>
      </c>
      <c r="S14" s="1">
        <f>E14-10</f>
        <v>-0.019999999999999574</v>
      </c>
      <c r="T14" s="1">
        <f>F14-10</f>
        <v>0.19999999999999929</v>
      </c>
      <c r="U14" s="1">
        <f>G14-10</f>
        <v>0.099999999999999645</v>
      </c>
      <c r="V14" s="1">
        <f>H14-10</f>
        <v>-0.099999999999999645</v>
      </c>
      <c r="W14" s="1">
        <f>I14-10</f>
        <v>0</v>
      </c>
      <c r="X14" s="1">
        <f>J14-10</f>
        <v>0.099999999999999645</v>
      </c>
      <c r="Y14" s="1">
        <f>K14-10</f>
        <v>0.30000000000000071</v>
      </c>
      <c r="Z14" s="1">
        <f>L14-10</f>
        <v>0.19999999999999929</v>
      </c>
      <c r="AA14" s="1">
        <f>M14-10</f>
        <v>0</v>
      </c>
    </row>
    <row r="17" ht="15.75"/>
    <row r="18" ht="37.5" customHeight="1">
      <c r="A18" s="3"/>
      <c r="B18" s="4"/>
      <c r="C18" s="5" t="s">
        <v>23</v>
      </c>
      <c r="D18" s="4"/>
      <c r="E18" s="5" t="s">
        <v>24</v>
      </c>
      <c r="F18" s="4"/>
    </row>
    <row r="19" ht="34.5">
      <c r="A19" s="6" t="s">
        <v>0</v>
      </c>
      <c r="B19" s="7" t="s">
        <v>2</v>
      </c>
      <c r="C19" s="7" t="s">
        <v>25</v>
      </c>
      <c r="D19" s="7" t="s">
        <v>26</v>
      </c>
      <c r="E19" s="7" t="s">
        <v>25</v>
      </c>
      <c r="F19" s="7" t="s">
        <v>26</v>
      </c>
    </row>
    <row r="20" ht="34.5">
      <c r="A20" s="8">
        <v>1</v>
      </c>
      <c r="B20" s="9" t="str">
        <f t="shared" ref="B20:B24" si="4">C2</f>
        <v>1,5кОМ</v>
      </c>
      <c r="C20" s="10">
        <f t="shared" ref="C20:C24" si="5">AVERAGE(D2:M2)</f>
        <v>1.506</v>
      </c>
      <c r="D20" s="10">
        <f t="shared" ref="D20:D24" si="6">_xlfn.STDEV.S(D2:M2)/SQRT(COUNT(D2:M2))</f>
        <v>0.0070237691685684977</v>
      </c>
      <c r="E20" s="10">
        <f t="shared" ref="E20:E24" si="7">AVERAGE(D10:M10)</f>
        <v>1.502</v>
      </c>
      <c r="F20" s="10">
        <f t="shared" ref="F20:F24" si="8">_xlfn.STDEV.S(D10:M10)/SQRT(COUNT(D10:M10))</f>
        <v>0.005925462944877064</v>
      </c>
    </row>
    <row r="21" ht="17.25">
      <c r="A21" s="8">
        <v>2</v>
      </c>
      <c r="B21" s="9" t="str">
        <f t="shared" si="4"/>
        <v>56кОМ</v>
      </c>
      <c r="C21" s="10">
        <f t="shared" si="5"/>
        <v>56.649999999999999</v>
      </c>
      <c r="D21" s="10">
        <f t="shared" si="6"/>
        <v>0.39895697345286063</v>
      </c>
      <c r="E21" s="10">
        <f t="shared" si="7"/>
        <v>55.210000000000001</v>
      </c>
      <c r="F21" s="10">
        <f t="shared" si="8"/>
        <v>0.20080393975772068</v>
      </c>
    </row>
    <row r="22" ht="17.25">
      <c r="A22" s="8">
        <v>3</v>
      </c>
      <c r="B22" s="9" t="str">
        <f t="shared" si="4"/>
        <v>31ГОм</v>
      </c>
      <c r="C22" s="10"/>
      <c r="D22" s="10"/>
      <c r="E22" s="10"/>
      <c r="F22" s="10"/>
    </row>
    <row r="23" ht="34.5">
      <c r="A23" s="8">
        <v>4</v>
      </c>
      <c r="B23" s="9" t="str">
        <f t="shared" si="4"/>
        <v>5,1кОМ</v>
      </c>
      <c r="C23" s="10">
        <f t="shared" si="5"/>
        <v>5.0650000000000013</v>
      </c>
      <c r="D23" s="10">
        <f t="shared" si="6"/>
        <v>0.033936214677931668</v>
      </c>
      <c r="E23" s="10">
        <f t="shared" si="7"/>
        <v>5.0200000000000005</v>
      </c>
      <c r="F23" s="10">
        <f t="shared" si="8"/>
        <v>0.04163331998932264</v>
      </c>
    </row>
    <row r="24" ht="17.25">
      <c r="A24" s="8">
        <v>5</v>
      </c>
      <c r="B24" s="9" t="str">
        <f t="shared" si="4"/>
        <v>10кОМ</v>
      </c>
      <c r="C24" s="10">
        <f t="shared" si="5"/>
        <v>10.276</v>
      </c>
      <c r="D24" s="10">
        <f t="shared" si="6"/>
        <v>0.027373953556863798</v>
      </c>
      <c r="E24" s="10">
        <f t="shared" si="7"/>
        <v>10.077999999999999</v>
      </c>
      <c r="F24" s="10">
        <f t="shared" si="8"/>
        <v>0.039378505134992914</v>
      </c>
    </row>
  </sheetData>
  <mergeCells count="2">
    <mergeCell ref="C18:D18"/>
    <mergeCell ref="E18:F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Fanatsio PC</dc:creator>
  <cp:revision>4</cp:revision>
  <dcterms:created xsi:type="dcterms:W3CDTF">2015-06-05T18:19:34Z</dcterms:created>
  <dcterms:modified xsi:type="dcterms:W3CDTF">2026-03-07T04:23:48Z</dcterms:modified>
</cp:coreProperties>
</file>