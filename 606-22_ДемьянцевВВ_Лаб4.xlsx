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tal\OneDrive\Рабочий стол\metrology\"/>
    </mc:Choice>
  </mc:AlternateContent>
  <xr:revisionPtr revIDLastSave="0" documentId="13_ncr:1_{8014ACE6-8945-4476-91E0-72DF152BBB85}" xr6:coauthVersionLast="47" xr6:coauthVersionMax="47" xr10:uidLastSave="{00000000-0000-0000-0000-000000000000}"/>
  <bookViews>
    <workbookView xWindow="-28920" yWindow="-6945" windowWidth="29040" windowHeight="15720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S3" i="1"/>
  <c r="T3" i="1"/>
  <c r="U3" i="1"/>
  <c r="V3" i="1"/>
  <c r="W3" i="1"/>
  <c r="X3" i="1"/>
  <c r="Y3" i="1"/>
  <c r="Z3" i="1"/>
  <c r="AA3" i="1"/>
  <c r="R2" i="1"/>
  <c r="R13" i="1"/>
  <c r="AA14" i="1"/>
  <c r="Z14" i="1"/>
  <c r="Y14" i="1"/>
  <c r="X14" i="1"/>
  <c r="W14" i="1"/>
  <c r="V14" i="1"/>
  <c r="U14" i="1"/>
  <c r="T14" i="1"/>
  <c r="S14" i="1"/>
  <c r="R14" i="1"/>
  <c r="AA13" i="1"/>
  <c r="Z13" i="1"/>
  <c r="Y13" i="1"/>
  <c r="X13" i="1"/>
  <c r="W13" i="1"/>
  <c r="V13" i="1"/>
  <c r="U13" i="1"/>
  <c r="T13" i="1"/>
  <c r="S13" i="1"/>
  <c r="AA11" i="1"/>
  <c r="Z11" i="1"/>
  <c r="Y11" i="1"/>
  <c r="X11" i="1"/>
  <c r="W11" i="1"/>
  <c r="V11" i="1"/>
  <c r="U11" i="1"/>
  <c r="T11" i="1"/>
  <c r="S11" i="1"/>
  <c r="R11" i="1"/>
  <c r="AA10" i="1"/>
  <c r="Z10" i="1"/>
  <c r="Y10" i="1"/>
  <c r="X10" i="1"/>
  <c r="W10" i="1"/>
  <c r="V10" i="1"/>
  <c r="U10" i="1"/>
  <c r="T10" i="1"/>
  <c r="S10" i="1"/>
  <c r="R10" i="1"/>
  <c r="S6" i="1"/>
  <c r="T6" i="1"/>
  <c r="U6" i="1"/>
  <c r="V6" i="1"/>
  <c r="W6" i="1"/>
  <c r="X6" i="1"/>
  <c r="Y6" i="1"/>
  <c r="Z6" i="1"/>
  <c r="AA6" i="1"/>
  <c r="R6" i="1"/>
  <c r="S5" i="1"/>
  <c r="T5" i="1"/>
  <c r="U5" i="1"/>
  <c r="V5" i="1"/>
  <c r="W5" i="1"/>
  <c r="X5" i="1"/>
  <c r="Y5" i="1"/>
  <c r="Z5" i="1"/>
  <c r="AA5" i="1"/>
  <c r="R5" i="1"/>
  <c r="S2" i="1"/>
  <c r="T2" i="1"/>
  <c r="U2" i="1"/>
  <c r="V2" i="1"/>
  <c r="W2" i="1"/>
  <c r="X2" i="1"/>
  <c r="Y2" i="1"/>
  <c r="Z2" i="1"/>
  <c r="AA2" i="1"/>
  <c r="F24" i="1"/>
  <c r="F21" i="1"/>
  <c r="F23" i="1"/>
  <c r="F20" i="1"/>
  <c r="E21" i="1"/>
  <c r="E23" i="1"/>
  <c r="E24" i="1"/>
  <c r="E20" i="1"/>
  <c r="D21" i="1"/>
  <c r="D23" i="1"/>
  <c r="D24" i="1"/>
  <c r="D20" i="1"/>
  <c r="C21" i="1"/>
  <c r="C23" i="1"/>
  <c r="C24" i="1"/>
  <c r="C20" i="1"/>
  <c r="B21" i="1"/>
  <c r="B22" i="1"/>
  <c r="B23" i="1"/>
  <c r="B24" i="1"/>
  <c r="B20" i="1"/>
</calcChain>
</file>

<file path=xl/sharedStrings.xml><?xml version="1.0" encoding="utf-8"?>
<sst xmlns="http://schemas.openxmlformats.org/spreadsheetml/2006/main" count="100" uniqueCount="27">
  <si>
    <t>№</t>
  </si>
  <si>
    <t>Цвет</t>
  </si>
  <si>
    <t>Номинал</t>
  </si>
  <si>
    <t>Замер 1</t>
  </si>
  <si>
    <t>Замер 2</t>
  </si>
  <si>
    <t>Замер 3</t>
  </si>
  <si>
    <t>Замер 4</t>
  </si>
  <si>
    <t>Замер 5</t>
  </si>
  <si>
    <t>Замер 6</t>
  </si>
  <si>
    <t>Замер 7</t>
  </si>
  <si>
    <t>Замер 8</t>
  </si>
  <si>
    <t>Замер 9</t>
  </si>
  <si>
    <t>Замер 10</t>
  </si>
  <si>
    <t>1К5</t>
  </si>
  <si>
    <t>1,5кОМ</t>
  </si>
  <si>
    <t>56К</t>
  </si>
  <si>
    <t>56кОМ</t>
  </si>
  <si>
    <t>ОКБЗ</t>
  </si>
  <si>
    <t>31ГОм</t>
  </si>
  <si>
    <t>ЗКЧКК</t>
  </si>
  <si>
    <t>5,1кОМ</t>
  </si>
  <si>
    <t>КЧОС</t>
  </si>
  <si>
    <t>10кОМ</t>
  </si>
  <si>
    <t>Первый мультиметр</t>
  </si>
  <si>
    <t>Второй мультиметр</t>
  </si>
  <si>
    <t>Ã</t>
  </si>
  <si>
    <t>S(Ã)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</si>
</sst>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scheme val="minor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justify" vertical="center" wrapText="1"/>
    </xf>
    <xf numFmtId="164" fontId="1" fillId="0" borderId="4" xfId="0" applyNumberFormat="1" applyFont="1" applyBorder="1" applyAlignment="1">
      <alignment horizontal="justify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Лист1!$R$9</c:f>
              <c:strCache>
                <c:ptCount val="1"/>
                <c:pt idx="0">
                  <c:v>Замер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Лист1!$R$10:$R$14</c:f>
              <c:numCache>
                <c:formatCode>General</c:formatCode>
                <c:ptCount val="5"/>
                <c:pt idx="0">
                  <c:v>0</c:v>
                </c:pt>
                <c:pt idx="1">
                  <c:v>-2</c:v>
                </c:pt>
                <c:pt idx="3">
                  <c:v>-9.9999999999999645E-2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9E-4FEA-A769-116CC92A4212}"/>
            </c:ext>
          </c:extLst>
        </c:ser>
        <c:ser>
          <c:idx val="1"/>
          <c:order val="1"/>
          <c:tx>
            <c:strRef>
              <c:f>Лист1!$S$9</c:f>
              <c:strCache>
                <c:ptCount val="1"/>
                <c:pt idx="0">
                  <c:v>Замер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Лист1!$S$10:$S$14</c:f>
              <c:numCache>
                <c:formatCode>General</c:formatCode>
                <c:ptCount val="5"/>
                <c:pt idx="0">
                  <c:v>2.0000000000000018E-2</c:v>
                </c:pt>
                <c:pt idx="1">
                  <c:v>-0.79999999999999716</c:v>
                </c:pt>
                <c:pt idx="3">
                  <c:v>-0.19999999999999929</c:v>
                </c:pt>
                <c:pt idx="4">
                  <c:v>-1.9999999999999574E-2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9E-4FEA-A769-116CC92A4212}"/>
            </c:ext>
          </c:extLst>
        </c:ser>
        <c:ser>
          <c:idx val="2"/>
          <c:order val="2"/>
          <c:tx>
            <c:strRef>
              <c:f>Лист1!$T$9</c:f>
              <c:strCache>
                <c:ptCount val="1"/>
                <c:pt idx="0">
                  <c:v>Замер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Лист1!$T$10:$T$14</c:f>
              <c:numCache>
                <c:formatCode>General</c:formatCode>
                <c:ptCount val="5"/>
                <c:pt idx="0">
                  <c:v>-2.0000000000000018E-2</c:v>
                </c:pt>
                <c:pt idx="1">
                  <c:v>0</c:v>
                </c:pt>
                <c:pt idx="3">
                  <c:v>0</c:v>
                </c:pt>
                <c:pt idx="4">
                  <c:v>0.19999999999999929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9E-4FEA-A769-116CC92A4212}"/>
            </c:ext>
          </c:extLst>
        </c:ser>
        <c:ser>
          <c:idx val="3"/>
          <c:order val="3"/>
          <c:tx>
            <c:strRef>
              <c:f>Лист1!$U$9</c:f>
              <c:strCache>
                <c:ptCount val="1"/>
                <c:pt idx="0">
                  <c:v>Замер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Лист1!$U$10:$U$14</c:f>
              <c:numCache>
                <c:formatCode>General</c:formatCode>
                <c:ptCount val="5"/>
                <c:pt idx="0">
                  <c:v>-1.0000000000000009E-2</c:v>
                </c:pt>
                <c:pt idx="1">
                  <c:v>-1.2000000000000028</c:v>
                </c:pt>
                <c:pt idx="3">
                  <c:v>0.10000000000000053</c:v>
                </c:pt>
                <c:pt idx="4">
                  <c:v>9.9999999999999645E-2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9E-4FEA-A769-116CC92A4212}"/>
            </c:ext>
          </c:extLst>
        </c:ser>
        <c:ser>
          <c:idx val="4"/>
          <c:order val="4"/>
          <c:tx>
            <c:strRef>
              <c:f>Лист1!$V$9</c:f>
              <c:strCache>
                <c:ptCount val="1"/>
                <c:pt idx="0">
                  <c:v>Замер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Лист1!$V$10:$V$14</c:f>
              <c:numCache>
                <c:formatCode>General</c:formatCode>
                <c:ptCount val="5"/>
                <c:pt idx="0">
                  <c:v>1.0000000000000009E-2</c:v>
                </c:pt>
                <c:pt idx="1">
                  <c:v>0.20000000000000284</c:v>
                </c:pt>
                <c:pt idx="3">
                  <c:v>-0.29999999999999982</c:v>
                </c:pt>
                <c:pt idx="4">
                  <c:v>-9.9999999999999645E-2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9E-4FEA-A769-116CC92A4212}"/>
            </c:ext>
          </c:extLst>
        </c:ser>
        <c:ser>
          <c:idx val="5"/>
          <c:order val="5"/>
          <c:tx>
            <c:strRef>
              <c:f>Лист1!$W$9</c:f>
              <c:strCache>
                <c:ptCount val="1"/>
                <c:pt idx="0">
                  <c:v>Замер 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Лист1!$W$10:$W$14</c:f>
              <c:numCache>
                <c:formatCode>General</c:formatCode>
                <c:ptCount val="5"/>
                <c:pt idx="0">
                  <c:v>0</c:v>
                </c:pt>
                <c:pt idx="1">
                  <c:v>-0.5</c:v>
                </c:pt>
                <c:pt idx="3">
                  <c:v>-9.9999999999999645E-2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9E-4FEA-A769-116CC92A4212}"/>
            </c:ext>
          </c:extLst>
        </c:ser>
        <c:ser>
          <c:idx val="6"/>
          <c:order val="6"/>
          <c:tx>
            <c:strRef>
              <c:f>Лист1!$X$9</c:f>
              <c:strCache>
                <c:ptCount val="1"/>
                <c:pt idx="0">
                  <c:v>Замер 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Лист1!$X$10:$X$14</c:f>
              <c:numCache>
                <c:formatCode>General</c:formatCode>
                <c:ptCount val="5"/>
                <c:pt idx="0">
                  <c:v>3.0000000000000027E-2</c:v>
                </c:pt>
                <c:pt idx="1">
                  <c:v>-1</c:v>
                </c:pt>
                <c:pt idx="3">
                  <c:v>0</c:v>
                </c:pt>
                <c:pt idx="4">
                  <c:v>9.9999999999999645E-2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9E-4FEA-A769-116CC92A4212}"/>
            </c:ext>
          </c:extLst>
        </c:ser>
        <c:ser>
          <c:idx val="7"/>
          <c:order val="7"/>
          <c:tx>
            <c:strRef>
              <c:f>Лист1!$Y$9</c:f>
              <c:strCache>
                <c:ptCount val="1"/>
                <c:pt idx="0">
                  <c:v>Замер 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Лист1!$Y$10:$Y$14</c:f>
              <c:numCache>
                <c:formatCode>General</c:formatCode>
                <c:ptCount val="5"/>
                <c:pt idx="0">
                  <c:v>-3.0000000000000027E-2</c:v>
                </c:pt>
                <c:pt idx="1">
                  <c:v>-0.89999999999999858</c:v>
                </c:pt>
                <c:pt idx="3">
                  <c:v>-9.9999999999999645E-2</c:v>
                </c:pt>
                <c:pt idx="4">
                  <c:v>0.30000000000000071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59E-4FEA-A769-116CC92A4212}"/>
            </c:ext>
          </c:extLst>
        </c:ser>
        <c:ser>
          <c:idx val="8"/>
          <c:order val="8"/>
          <c:tx>
            <c:strRef>
              <c:f>Лист1!$Z$9</c:f>
              <c:strCache>
                <c:ptCount val="1"/>
                <c:pt idx="0">
                  <c:v>Замер 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Лист1!$Z$10:$Z$14</c:f>
              <c:numCache>
                <c:formatCode>General</c:formatCode>
                <c:ptCount val="5"/>
                <c:pt idx="0">
                  <c:v>0</c:v>
                </c:pt>
                <c:pt idx="1">
                  <c:v>-0.5</c:v>
                </c:pt>
                <c:pt idx="3">
                  <c:v>-0.19999999999999929</c:v>
                </c:pt>
                <c:pt idx="4">
                  <c:v>0.19999999999999929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59E-4FEA-A769-116CC92A4212}"/>
            </c:ext>
          </c:extLst>
        </c:ser>
        <c:ser>
          <c:idx val="9"/>
          <c:order val="9"/>
          <c:tx>
            <c:strRef>
              <c:f>Лист1!$AA$9</c:f>
              <c:strCache>
                <c:ptCount val="1"/>
                <c:pt idx="0">
                  <c:v>Замер 10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Лист1!$Q$10:$Q$14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Лист1!$AA$10:$AA$14</c:f>
              <c:numCache>
                <c:formatCode>General</c:formatCode>
                <c:ptCount val="5"/>
                <c:pt idx="0">
                  <c:v>2.0000000000000018E-2</c:v>
                </c:pt>
                <c:pt idx="1">
                  <c:v>-1.2000000000000028</c:v>
                </c:pt>
                <c:pt idx="3">
                  <c:v>0.10000000000000053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59E-4FEA-A769-116CC92A4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4965247"/>
        <c:axId val="1644969087"/>
      </c:barChart>
      <c:catAx>
        <c:axId val="1644965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4969087"/>
        <c:crosses val="autoZero"/>
        <c:auto val="1"/>
        <c:lblAlgn val="ctr"/>
        <c:lblOffset val="100"/>
        <c:noMultiLvlLbl val="0"/>
      </c:catAx>
      <c:valAx>
        <c:axId val="164496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4496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Лист1!$R$1</c:f>
              <c:strCache>
                <c:ptCount val="1"/>
                <c:pt idx="0">
                  <c:v>Замер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Лист1!$R$2:$R$6</c:f>
              <c:numCache>
                <c:formatCode>General</c:formatCode>
                <c:ptCount val="5"/>
                <c:pt idx="0">
                  <c:v>4.0000000000000036E-2</c:v>
                </c:pt>
                <c:pt idx="1">
                  <c:v>0.79999999999999716</c:v>
                </c:pt>
                <c:pt idx="3">
                  <c:v>-2.9999999999999361E-2</c:v>
                </c:pt>
                <c:pt idx="4">
                  <c:v>0.30000000000000071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51-4364-A3BE-4FDED69B7DF3}"/>
            </c:ext>
          </c:extLst>
        </c:ser>
        <c:ser>
          <c:idx val="1"/>
          <c:order val="1"/>
          <c:tx>
            <c:strRef>
              <c:f>Лист1!$S$1</c:f>
              <c:strCache>
                <c:ptCount val="1"/>
                <c:pt idx="0">
                  <c:v>Замер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Лист1!$S$2:$S$6</c:f>
              <c:numCache>
                <c:formatCode>General</c:formatCode>
                <c:ptCount val="5"/>
                <c:pt idx="0">
                  <c:v>3.0000000000000027E-2</c:v>
                </c:pt>
                <c:pt idx="1">
                  <c:v>2</c:v>
                </c:pt>
                <c:pt idx="3">
                  <c:v>-6.9999999999999396E-2</c:v>
                </c:pt>
                <c:pt idx="4">
                  <c:v>0.19999999999999929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51-4364-A3BE-4FDED69B7DF3}"/>
            </c:ext>
          </c:extLst>
        </c:ser>
        <c:ser>
          <c:idx val="2"/>
          <c:order val="2"/>
          <c:tx>
            <c:strRef>
              <c:f>Лист1!$T$1</c:f>
              <c:strCache>
                <c:ptCount val="1"/>
                <c:pt idx="0">
                  <c:v>Замер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Лист1!$T$2:$T$6</c:f>
              <c:numCache>
                <c:formatCode>General</c:formatCode>
                <c:ptCount val="5"/>
                <c:pt idx="0">
                  <c:v>2.0000000000000018E-2</c:v>
                </c:pt>
                <c:pt idx="1">
                  <c:v>0.79999999999999716</c:v>
                </c:pt>
                <c:pt idx="3">
                  <c:v>-0.19999999999999929</c:v>
                </c:pt>
                <c:pt idx="4">
                  <c:v>0.15000000000000036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51-4364-A3BE-4FDED69B7DF3}"/>
            </c:ext>
          </c:extLst>
        </c:ser>
        <c:ser>
          <c:idx val="3"/>
          <c:order val="3"/>
          <c:tx>
            <c:strRef>
              <c:f>Лист1!$U$1</c:f>
              <c:strCache>
                <c:ptCount val="1"/>
                <c:pt idx="0">
                  <c:v>Замер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Лист1!$U$2:$U$6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3">
                  <c:v>0.1800000000000006</c:v>
                </c:pt>
                <c:pt idx="4">
                  <c:v>0.40000000000000036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51-4364-A3BE-4FDED69B7DF3}"/>
            </c:ext>
          </c:extLst>
        </c:ser>
        <c:ser>
          <c:idx val="4"/>
          <c:order val="4"/>
          <c:tx>
            <c:strRef>
              <c:f>Лист1!$V$1</c:f>
              <c:strCache>
                <c:ptCount val="1"/>
                <c:pt idx="0">
                  <c:v>Замер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Лист1!$V$2:$V$6</c:f>
              <c:numCache>
                <c:formatCode>General</c:formatCode>
                <c:ptCount val="5"/>
                <c:pt idx="0">
                  <c:v>-1.0000000000000009E-2</c:v>
                </c:pt>
                <c:pt idx="1">
                  <c:v>-1.5</c:v>
                </c:pt>
                <c:pt idx="3">
                  <c:v>-6.9999999999999396E-2</c:v>
                </c:pt>
                <c:pt idx="4">
                  <c:v>0.38000000000000078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51-4364-A3BE-4FDED69B7DF3}"/>
            </c:ext>
          </c:extLst>
        </c:ser>
        <c:ser>
          <c:idx val="5"/>
          <c:order val="5"/>
          <c:tx>
            <c:strRef>
              <c:f>Лист1!$W$1</c:f>
              <c:strCache>
                <c:ptCount val="1"/>
                <c:pt idx="0">
                  <c:v>Замер 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Лист1!$W$2:$W$6</c:f>
              <c:numCache>
                <c:formatCode>General</c:formatCode>
                <c:ptCount val="5"/>
                <c:pt idx="0">
                  <c:v>1.0000000000000009E-2</c:v>
                </c:pt>
                <c:pt idx="1">
                  <c:v>0.79999999999999716</c:v>
                </c:pt>
                <c:pt idx="3">
                  <c:v>2.0000000000000462E-2</c:v>
                </c:pt>
                <c:pt idx="4">
                  <c:v>0.22000000000000064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51-4364-A3BE-4FDED69B7DF3}"/>
            </c:ext>
          </c:extLst>
        </c:ser>
        <c:ser>
          <c:idx val="6"/>
          <c:order val="6"/>
          <c:tx>
            <c:strRef>
              <c:f>Лист1!$X$1</c:f>
              <c:strCache>
                <c:ptCount val="1"/>
                <c:pt idx="0">
                  <c:v>Замер 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Лист1!$X$2:$X$6</c:f>
              <c:numCache>
                <c:formatCode>General</c:formatCode>
                <c:ptCount val="5"/>
                <c:pt idx="0">
                  <c:v>-2.0000000000000018E-2</c:v>
                </c:pt>
                <c:pt idx="1">
                  <c:v>2</c:v>
                </c:pt>
                <c:pt idx="3">
                  <c:v>-9.9999999999999645E-2</c:v>
                </c:pt>
                <c:pt idx="4">
                  <c:v>0.3100000000000005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51-4364-A3BE-4FDED69B7DF3}"/>
            </c:ext>
          </c:extLst>
        </c:ser>
        <c:ser>
          <c:idx val="7"/>
          <c:order val="7"/>
          <c:tx>
            <c:strRef>
              <c:f>Лист1!$Y$1</c:f>
              <c:strCache>
                <c:ptCount val="1"/>
                <c:pt idx="0">
                  <c:v>Замер 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Лист1!$Y$2:$Y$6</c:f>
              <c:numCache>
                <c:formatCode>General</c:formatCode>
                <c:ptCount val="5"/>
                <c:pt idx="0">
                  <c:v>0</c:v>
                </c:pt>
                <c:pt idx="1">
                  <c:v>0.79999999999999716</c:v>
                </c:pt>
                <c:pt idx="3">
                  <c:v>-0.11999999999999922</c:v>
                </c:pt>
                <c:pt idx="4">
                  <c:v>0.26999999999999957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F51-4364-A3BE-4FDED69B7DF3}"/>
            </c:ext>
          </c:extLst>
        </c:ser>
        <c:ser>
          <c:idx val="8"/>
          <c:order val="8"/>
          <c:tx>
            <c:strRef>
              <c:f>Лист1!$Z$1</c:f>
              <c:strCache>
                <c:ptCount val="1"/>
                <c:pt idx="0">
                  <c:v>Замер 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Лист1!$Z$2:$Z$6</c:f>
              <c:numCache>
                <c:formatCode>General</c:formatCode>
                <c:ptCount val="5"/>
                <c:pt idx="0">
                  <c:v>2.0000000000000018E-2</c:v>
                </c:pt>
                <c:pt idx="1">
                  <c:v>-1.5</c:v>
                </c:pt>
                <c:pt idx="3">
                  <c:v>8.0000000000000071E-2</c:v>
                </c:pt>
                <c:pt idx="4">
                  <c:v>0.17999999999999972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51-4364-A3BE-4FDED69B7DF3}"/>
            </c:ext>
          </c:extLst>
        </c:ser>
        <c:ser>
          <c:idx val="9"/>
          <c:order val="9"/>
          <c:tx>
            <c:strRef>
              <c:f>Лист1!$AA$1</c:f>
              <c:strCache>
                <c:ptCount val="1"/>
                <c:pt idx="0">
                  <c:v>Замер 10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Лист1!$Q$2:$Q$6</c:f>
              <c:strCache>
                <c:ptCount val="5"/>
                <c:pt idx="0">
                  <c:v>1,5кОМ</c:v>
                </c:pt>
                <c:pt idx="1">
                  <c:v>56кОМ</c:v>
                </c:pt>
                <c:pt idx="2">
                  <c:v>31ГОм</c:v>
                </c:pt>
                <c:pt idx="3">
                  <c:v>5,1кОМ</c:v>
                </c:pt>
                <c:pt idx="4">
                  <c:v>10кОМ</c:v>
                </c:pt>
              </c:strCache>
            </c:strRef>
          </c:cat>
          <c:val>
            <c:numRef>
              <c:f>Лист1!$AA$2:$AA$6</c:f>
              <c:numCache>
                <c:formatCode>General</c:formatCode>
                <c:ptCount val="5"/>
                <c:pt idx="0">
                  <c:v>-3.0000000000000027E-2</c:v>
                </c:pt>
                <c:pt idx="1">
                  <c:v>1.7999999999999972</c:v>
                </c:pt>
                <c:pt idx="3">
                  <c:v>-4.0000000000000036E-2</c:v>
                </c:pt>
                <c:pt idx="4">
                  <c:v>0.34999999999999964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F51-4364-A3BE-4FDED69B7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891423"/>
        <c:axId val="1684887103"/>
      </c:barChart>
      <c:catAx>
        <c:axId val="168489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84887103"/>
        <c:crosses val="autoZero"/>
        <c:auto val="1"/>
        <c:lblAlgn val="ctr"/>
        <c:lblOffset val="100"/>
        <c:noMultiLvlLbl val="0"/>
      </c:catAx>
      <c:valAx>
        <c:axId val="168488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84891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184896</xdr:colOff>
      <xdr:row>14</xdr:row>
      <xdr:rowOff>57149</xdr:rowOff>
    </xdr:from>
    <xdr:to>
      <xdr:col>35</xdr:col>
      <xdr:colOff>521073</xdr:colOff>
      <xdr:row>22</xdr:row>
      <xdr:rowOff>43702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A962645-38FE-9A43-7503-E29C851F9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180975</xdr:colOff>
      <xdr:row>0</xdr:row>
      <xdr:rowOff>0</xdr:rowOff>
    </xdr:from>
    <xdr:to>
      <xdr:col>35</xdr:col>
      <xdr:colOff>485775</xdr:colOff>
      <xdr:row>14</xdr:row>
      <xdr:rowOff>76200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200D08D-524C-A428-31CD-F26683D7B1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"/>
  <sheetViews>
    <sheetView tabSelected="1" zoomScaleNormal="100" workbookViewId="0">
      <selection activeCell="M14" sqref="A9:M14"/>
    </sheetView>
  </sheetViews>
  <sheetFormatPr defaultRowHeight="15" x14ac:dyDescent="0.25"/>
  <cols>
    <col min="3" max="3" width="9.7109375" bestFit="1" customWidth="1"/>
    <col min="4" max="4" width="15.28515625" bestFit="1" customWidth="1"/>
    <col min="5" max="5" width="11" bestFit="1" customWidth="1"/>
    <col min="6" max="6" width="15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s="2" t="s">
        <v>0</v>
      </c>
      <c r="P1" s="2" t="s">
        <v>1</v>
      </c>
      <c r="Q1" s="2" t="s">
        <v>2</v>
      </c>
      <c r="R1" s="2" t="s">
        <v>3</v>
      </c>
      <c r="S1" s="2" t="s">
        <v>4</v>
      </c>
      <c r="T1" s="2" t="s">
        <v>5</v>
      </c>
      <c r="U1" s="2" t="s">
        <v>6</v>
      </c>
      <c r="V1" s="2" t="s">
        <v>7</v>
      </c>
      <c r="W1" s="2" t="s">
        <v>8</v>
      </c>
      <c r="X1" s="2" t="s">
        <v>9</v>
      </c>
      <c r="Y1" s="2" t="s">
        <v>10</v>
      </c>
      <c r="Z1" s="2" t="s">
        <v>11</v>
      </c>
      <c r="AA1" s="2" t="s">
        <v>12</v>
      </c>
    </row>
    <row r="2" spans="1:27" x14ac:dyDescent="0.25">
      <c r="A2">
        <v>1</v>
      </c>
      <c r="B2" t="s">
        <v>13</v>
      </c>
      <c r="C2" t="s">
        <v>14</v>
      </c>
      <c r="D2">
        <v>1.54</v>
      </c>
      <c r="E2">
        <v>1.53</v>
      </c>
      <c r="F2" s="1">
        <v>1.52</v>
      </c>
      <c r="G2">
        <v>1.5</v>
      </c>
      <c r="H2">
        <v>1.49</v>
      </c>
      <c r="I2">
        <v>1.51</v>
      </c>
      <c r="J2">
        <v>1.48</v>
      </c>
      <c r="K2">
        <v>1.5</v>
      </c>
      <c r="L2">
        <v>1.52</v>
      </c>
      <c r="M2">
        <v>1.47</v>
      </c>
      <c r="O2" s="2">
        <v>1</v>
      </c>
      <c r="P2" s="2" t="s">
        <v>13</v>
      </c>
      <c r="Q2" s="2" t="s">
        <v>14</v>
      </c>
      <c r="R2" s="2">
        <f>D2-1.5</f>
        <v>4.0000000000000036E-2</v>
      </c>
      <c r="S2" s="2">
        <f>E2-1.5</f>
        <v>3.0000000000000027E-2</v>
      </c>
      <c r="T2" s="2">
        <f t="shared" ref="S2:AA2" si="0">F2-1.5</f>
        <v>2.0000000000000018E-2</v>
      </c>
      <c r="U2" s="2">
        <f t="shared" si="0"/>
        <v>0</v>
      </c>
      <c r="V2" s="2">
        <f t="shared" si="0"/>
        <v>-1.0000000000000009E-2</v>
      </c>
      <c r="W2" s="2">
        <f t="shared" si="0"/>
        <v>1.0000000000000009E-2</v>
      </c>
      <c r="X2" s="2">
        <f t="shared" si="0"/>
        <v>-2.0000000000000018E-2</v>
      </c>
      <c r="Y2" s="2">
        <f t="shared" si="0"/>
        <v>0</v>
      </c>
      <c r="Z2" s="2">
        <f t="shared" si="0"/>
        <v>2.0000000000000018E-2</v>
      </c>
      <c r="AA2" s="2">
        <f t="shared" si="0"/>
        <v>-3.0000000000000027E-2</v>
      </c>
    </row>
    <row r="3" spans="1:27" x14ac:dyDescent="0.25">
      <c r="A3">
        <v>2</v>
      </c>
      <c r="B3" t="s">
        <v>15</v>
      </c>
      <c r="C3" t="s">
        <v>16</v>
      </c>
      <c r="D3">
        <v>56.8</v>
      </c>
      <c r="E3">
        <v>58</v>
      </c>
      <c r="F3">
        <v>56.8</v>
      </c>
      <c r="G3">
        <v>56.5</v>
      </c>
      <c r="H3">
        <v>54.5</v>
      </c>
      <c r="I3">
        <v>56.8</v>
      </c>
      <c r="J3">
        <v>58</v>
      </c>
      <c r="K3">
        <v>56.8</v>
      </c>
      <c r="L3">
        <v>54.5</v>
      </c>
      <c r="M3">
        <v>57.8</v>
      </c>
      <c r="O3" s="2">
        <v>2</v>
      </c>
      <c r="P3" s="2" t="s">
        <v>15</v>
      </c>
      <c r="Q3" s="2" t="s">
        <v>16</v>
      </c>
      <c r="R3" s="2">
        <f>D3-56</f>
        <v>0.79999999999999716</v>
      </c>
      <c r="S3" s="2">
        <f t="shared" ref="S3:AA3" si="1">E3-56</f>
        <v>2</v>
      </c>
      <c r="T3" s="2">
        <f t="shared" si="1"/>
        <v>0.79999999999999716</v>
      </c>
      <c r="U3" s="2">
        <f t="shared" si="1"/>
        <v>0.5</v>
      </c>
      <c r="V3" s="2">
        <f t="shared" si="1"/>
        <v>-1.5</v>
      </c>
      <c r="W3" s="2">
        <f t="shared" si="1"/>
        <v>0.79999999999999716</v>
      </c>
      <c r="X3" s="2">
        <f t="shared" si="1"/>
        <v>2</v>
      </c>
      <c r="Y3" s="2">
        <f t="shared" si="1"/>
        <v>0.79999999999999716</v>
      </c>
      <c r="Z3" s="2">
        <f t="shared" si="1"/>
        <v>-1.5</v>
      </c>
      <c r="AA3" s="2">
        <f t="shared" si="1"/>
        <v>1.7999999999999972</v>
      </c>
    </row>
    <row r="4" spans="1:27" x14ac:dyDescent="0.25">
      <c r="A4">
        <v>3</v>
      </c>
      <c r="B4" t="s">
        <v>17</v>
      </c>
      <c r="C4" t="s">
        <v>18</v>
      </c>
      <c r="O4" s="2">
        <v>3</v>
      </c>
      <c r="P4" s="2" t="s">
        <v>17</v>
      </c>
      <c r="Q4" s="2" t="s">
        <v>18</v>
      </c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>
        <v>4</v>
      </c>
      <c r="B5" t="s">
        <v>19</v>
      </c>
      <c r="C5" t="s">
        <v>20</v>
      </c>
      <c r="D5">
        <v>5.07</v>
      </c>
      <c r="E5">
        <v>5.03</v>
      </c>
      <c r="F5">
        <v>4.9000000000000004</v>
      </c>
      <c r="G5">
        <v>5.28</v>
      </c>
      <c r="H5">
        <v>5.03</v>
      </c>
      <c r="I5">
        <v>5.12</v>
      </c>
      <c r="J5">
        <v>5</v>
      </c>
      <c r="K5">
        <v>4.9800000000000004</v>
      </c>
      <c r="L5">
        <v>5.18</v>
      </c>
      <c r="M5">
        <v>5.0599999999999996</v>
      </c>
      <c r="O5" s="2">
        <v>4</v>
      </c>
      <c r="P5" s="2" t="s">
        <v>19</v>
      </c>
      <c r="Q5" s="2" t="s">
        <v>20</v>
      </c>
      <c r="R5" s="2">
        <f>D5-5.1</f>
        <v>-2.9999999999999361E-2</v>
      </c>
      <c r="S5" s="2">
        <f t="shared" ref="S5:AA5" si="2">E5-5.1</f>
        <v>-6.9999999999999396E-2</v>
      </c>
      <c r="T5" s="2">
        <f t="shared" si="2"/>
        <v>-0.19999999999999929</v>
      </c>
      <c r="U5" s="2">
        <f t="shared" si="2"/>
        <v>0.1800000000000006</v>
      </c>
      <c r="V5" s="2">
        <f t="shared" si="2"/>
        <v>-6.9999999999999396E-2</v>
      </c>
      <c r="W5" s="2">
        <f t="shared" si="2"/>
        <v>2.0000000000000462E-2</v>
      </c>
      <c r="X5" s="2">
        <f t="shared" si="2"/>
        <v>-9.9999999999999645E-2</v>
      </c>
      <c r="Y5" s="2">
        <f t="shared" si="2"/>
        <v>-0.11999999999999922</v>
      </c>
      <c r="Z5" s="2">
        <f t="shared" si="2"/>
        <v>8.0000000000000071E-2</v>
      </c>
      <c r="AA5" s="2">
        <f t="shared" si="2"/>
        <v>-4.0000000000000036E-2</v>
      </c>
    </row>
    <row r="6" spans="1:27" x14ac:dyDescent="0.25">
      <c r="A6">
        <v>5</v>
      </c>
      <c r="B6" t="s">
        <v>21</v>
      </c>
      <c r="C6" t="s">
        <v>22</v>
      </c>
      <c r="D6">
        <v>10.3</v>
      </c>
      <c r="E6">
        <v>10.199999999999999</v>
      </c>
      <c r="F6">
        <v>10.15</v>
      </c>
      <c r="G6">
        <v>10.4</v>
      </c>
      <c r="H6">
        <v>10.38</v>
      </c>
      <c r="I6">
        <v>10.220000000000001</v>
      </c>
      <c r="J6">
        <v>10.31</v>
      </c>
      <c r="K6">
        <v>10.27</v>
      </c>
      <c r="L6">
        <v>10.18</v>
      </c>
      <c r="M6">
        <v>10.35</v>
      </c>
      <c r="O6" s="2">
        <v>5</v>
      </c>
      <c r="P6" s="2" t="s">
        <v>21</v>
      </c>
      <c r="Q6" s="2" t="s">
        <v>22</v>
      </c>
      <c r="R6" s="2">
        <f>D6-10</f>
        <v>0.30000000000000071</v>
      </c>
      <c r="S6" s="2">
        <f t="shared" ref="S6:AA6" si="3">E6-10</f>
        <v>0.19999999999999929</v>
      </c>
      <c r="T6" s="2">
        <f t="shared" si="3"/>
        <v>0.15000000000000036</v>
      </c>
      <c r="U6" s="2">
        <f t="shared" si="3"/>
        <v>0.40000000000000036</v>
      </c>
      <c r="V6" s="2">
        <f t="shared" si="3"/>
        <v>0.38000000000000078</v>
      </c>
      <c r="W6" s="2">
        <f t="shared" si="3"/>
        <v>0.22000000000000064</v>
      </c>
      <c r="X6" s="2">
        <f t="shared" si="3"/>
        <v>0.3100000000000005</v>
      </c>
      <c r="Y6" s="2">
        <f t="shared" si="3"/>
        <v>0.26999999999999957</v>
      </c>
      <c r="Z6" s="2">
        <f t="shared" si="3"/>
        <v>0.17999999999999972</v>
      </c>
      <c r="AA6" s="2">
        <f t="shared" si="3"/>
        <v>0.34999999999999964</v>
      </c>
    </row>
    <row r="9" spans="1:27" x14ac:dyDescent="0.25">
      <c r="A9" s="2" t="s">
        <v>0</v>
      </c>
      <c r="B9" s="2" t="s">
        <v>1</v>
      </c>
      <c r="C9" s="2" t="s">
        <v>2</v>
      </c>
      <c r="D9" s="2" t="s">
        <v>3</v>
      </c>
      <c r="E9" s="2" t="s">
        <v>4</v>
      </c>
      <c r="F9" s="2" t="s">
        <v>5</v>
      </c>
      <c r="G9" s="2" t="s">
        <v>6</v>
      </c>
      <c r="H9" s="2" t="s">
        <v>7</v>
      </c>
      <c r="I9" s="2" t="s">
        <v>8</v>
      </c>
      <c r="J9" s="2" t="s">
        <v>9</v>
      </c>
      <c r="K9" s="2" t="s">
        <v>10</v>
      </c>
      <c r="L9" s="2" t="s">
        <v>11</v>
      </c>
      <c r="M9" s="2" t="s">
        <v>12</v>
      </c>
      <c r="O9" s="2" t="s">
        <v>0</v>
      </c>
      <c r="P9" s="2" t="s">
        <v>1</v>
      </c>
      <c r="Q9" s="2" t="s">
        <v>2</v>
      </c>
      <c r="R9" s="2" t="s">
        <v>3</v>
      </c>
      <c r="S9" s="2" t="s">
        <v>4</v>
      </c>
      <c r="T9" s="2" t="s">
        <v>5</v>
      </c>
      <c r="U9" s="2" t="s">
        <v>6</v>
      </c>
      <c r="V9" s="2" t="s">
        <v>7</v>
      </c>
      <c r="W9" s="2" t="s">
        <v>8</v>
      </c>
      <c r="X9" s="2" t="s">
        <v>9</v>
      </c>
      <c r="Y9" s="2" t="s">
        <v>10</v>
      </c>
      <c r="Z9" s="2" t="s">
        <v>11</v>
      </c>
      <c r="AA9" s="2" t="s">
        <v>12</v>
      </c>
    </row>
    <row r="10" spans="1:27" x14ac:dyDescent="0.25">
      <c r="A10" s="2">
        <v>1</v>
      </c>
      <c r="B10" t="s">
        <v>13</v>
      </c>
      <c r="C10" t="s">
        <v>14</v>
      </c>
      <c r="D10" s="2">
        <v>1.5</v>
      </c>
      <c r="E10" s="2">
        <v>1.52</v>
      </c>
      <c r="F10" s="1">
        <v>1.48</v>
      </c>
      <c r="G10" s="2">
        <v>1.49</v>
      </c>
      <c r="H10" s="2">
        <v>1.51</v>
      </c>
      <c r="I10" s="2">
        <v>1.5</v>
      </c>
      <c r="J10" s="2">
        <v>1.53</v>
      </c>
      <c r="K10" s="2">
        <v>1.47</v>
      </c>
      <c r="L10" s="2">
        <v>1.5</v>
      </c>
      <c r="M10" s="2">
        <v>1.52</v>
      </c>
      <c r="O10" s="2">
        <v>1</v>
      </c>
      <c r="P10" s="2" t="s">
        <v>13</v>
      </c>
      <c r="Q10" s="2" t="s">
        <v>14</v>
      </c>
      <c r="R10" s="2">
        <f>D10-1.5</f>
        <v>0</v>
      </c>
      <c r="S10" s="2">
        <f>E10-1.5</f>
        <v>2.0000000000000018E-2</v>
      </c>
      <c r="T10" s="2">
        <f t="shared" ref="T10" si="4">F10-1.5</f>
        <v>-2.0000000000000018E-2</v>
      </c>
      <c r="U10" s="2">
        <f t="shared" ref="U10" si="5">G10-1.5</f>
        <v>-1.0000000000000009E-2</v>
      </c>
      <c r="V10" s="2">
        <f t="shared" ref="V10" si="6">H10-1.5</f>
        <v>1.0000000000000009E-2</v>
      </c>
      <c r="W10" s="2">
        <f t="shared" ref="W10" si="7">I10-1.5</f>
        <v>0</v>
      </c>
      <c r="X10" s="2">
        <f t="shared" ref="X10" si="8">J10-1.5</f>
        <v>3.0000000000000027E-2</v>
      </c>
      <c r="Y10" s="2">
        <f t="shared" ref="Y10" si="9">K10-1.5</f>
        <v>-3.0000000000000027E-2</v>
      </c>
      <c r="Z10" s="2">
        <f t="shared" ref="Z10" si="10">L10-1.5</f>
        <v>0</v>
      </c>
      <c r="AA10" s="2">
        <f t="shared" ref="AA10" si="11">M10-1.5</f>
        <v>2.0000000000000018E-2</v>
      </c>
    </row>
    <row r="11" spans="1:27" x14ac:dyDescent="0.25">
      <c r="A11" s="2">
        <v>2</v>
      </c>
      <c r="B11" t="s">
        <v>15</v>
      </c>
      <c r="C11" t="s">
        <v>16</v>
      </c>
      <c r="D11" s="2">
        <v>54</v>
      </c>
      <c r="E11" s="2">
        <v>55.2</v>
      </c>
      <c r="F11" s="2">
        <v>56</v>
      </c>
      <c r="G11" s="2">
        <v>54.8</v>
      </c>
      <c r="H11" s="2">
        <v>56.2</v>
      </c>
      <c r="I11" s="2">
        <v>55.5</v>
      </c>
      <c r="J11" s="2">
        <v>55</v>
      </c>
      <c r="K11" s="2">
        <v>55.1</v>
      </c>
      <c r="L11" s="2">
        <v>55.5</v>
      </c>
      <c r="M11" s="2">
        <v>54.8</v>
      </c>
      <c r="O11" s="2">
        <v>2</v>
      </c>
      <c r="P11" s="2" t="s">
        <v>15</v>
      </c>
      <c r="Q11" s="2" t="s">
        <v>16</v>
      </c>
      <c r="R11" s="2">
        <f>D11-56</f>
        <v>-2</v>
      </c>
      <c r="S11" s="2">
        <f t="shared" ref="S11" si="12">E11-56</f>
        <v>-0.79999999999999716</v>
      </c>
      <c r="T11" s="2">
        <f t="shared" ref="T11" si="13">F11-56</f>
        <v>0</v>
      </c>
      <c r="U11" s="2">
        <f t="shared" ref="U11" si="14">G11-56</f>
        <v>-1.2000000000000028</v>
      </c>
      <c r="V11" s="2">
        <f t="shared" ref="V11" si="15">H11-56</f>
        <v>0.20000000000000284</v>
      </c>
      <c r="W11" s="2">
        <f t="shared" ref="W11" si="16">I11-56</f>
        <v>-0.5</v>
      </c>
      <c r="X11" s="2">
        <f t="shared" ref="X11" si="17">J11-56</f>
        <v>-1</v>
      </c>
      <c r="Y11" s="2">
        <f t="shared" ref="Y11" si="18">K11-56</f>
        <v>-0.89999999999999858</v>
      </c>
      <c r="Z11" s="2">
        <f t="shared" ref="Z11" si="19">L11-56</f>
        <v>-0.5</v>
      </c>
      <c r="AA11" s="2">
        <f t="shared" ref="AA11" si="20">M11-56</f>
        <v>-1.2000000000000028</v>
      </c>
    </row>
    <row r="12" spans="1:27" x14ac:dyDescent="0.25">
      <c r="A12" s="2">
        <v>3</v>
      </c>
      <c r="B12" t="s">
        <v>17</v>
      </c>
      <c r="C12" t="s">
        <v>18</v>
      </c>
      <c r="D12" s="2"/>
      <c r="E12" s="2"/>
      <c r="F12" s="2"/>
      <c r="G12" s="2"/>
      <c r="H12" s="2"/>
      <c r="I12" s="2"/>
      <c r="J12" s="2"/>
      <c r="K12" s="2"/>
      <c r="L12" s="2"/>
      <c r="M12" s="2"/>
      <c r="O12" s="2">
        <v>3</v>
      </c>
      <c r="P12" s="2" t="s">
        <v>17</v>
      </c>
      <c r="Q12" s="2" t="s">
        <v>18</v>
      </c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>
        <v>4</v>
      </c>
      <c r="B13" t="s">
        <v>19</v>
      </c>
      <c r="C13" t="s">
        <v>20</v>
      </c>
      <c r="D13" s="2">
        <v>5</v>
      </c>
      <c r="E13" s="2">
        <v>4.9000000000000004</v>
      </c>
      <c r="F13" s="2">
        <v>5.0999999999999996</v>
      </c>
      <c r="G13" s="2">
        <v>5.2</v>
      </c>
      <c r="H13" s="2">
        <v>4.8</v>
      </c>
      <c r="I13" s="2">
        <v>5</v>
      </c>
      <c r="J13" s="2">
        <v>5.0999999999999996</v>
      </c>
      <c r="K13" s="2">
        <v>5</v>
      </c>
      <c r="L13" s="2">
        <v>4.9000000000000004</v>
      </c>
      <c r="M13" s="2">
        <v>5.2</v>
      </c>
      <c r="O13" s="2">
        <v>4</v>
      </c>
      <c r="P13" s="2" t="s">
        <v>19</v>
      </c>
      <c r="Q13" s="2" t="s">
        <v>20</v>
      </c>
      <c r="R13" s="2">
        <f>D13-5.1</f>
        <v>-9.9999999999999645E-2</v>
      </c>
      <c r="S13" s="2">
        <f t="shared" ref="S13" si="21">E13-5.1</f>
        <v>-0.19999999999999929</v>
      </c>
      <c r="T13" s="2">
        <f t="shared" ref="T13" si="22">F13-5.1</f>
        <v>0</v>
      </c>
      <c r="U13" s="2">
        <f t="shared" ref="U13" si="23">G13-5.1</f>
        <v>0.10000000000000053</v>
      </c>
      <c r="V13" s="2">
        <f t="shared" ref="V13" si="24">H13-5.1</f>
        <v>-0.29999999999999982</v>
      </c>
      <c r="W13" s="2">
        <f t="shared" ref="W13" si="25">I13-5.1</f>
        <v>-9.9999999999999645E-2</v>
      </c>
      <c r="X13" s="2">
        <f t="shared" ref="X13" si="26">J13-5.1</f>
        <v>0</v>
      </c>
      <c r="Y13" s="2">
        <f t="shared" ref="Y13" si="27">K13-5.1</f>
        <v>-9.9999999999999645E-2</v>
      </c>
      <c r="Z13" s="2">
        <f t="shared" ref="Z13" si="28">L13-5.1</f>
        <v>-0.19999999999999929</v>
      </c>
      <c r="AA13" s="2">
        <f t="shared" ref="AA13" si="29">M13-5.1</f>
        <v>0.10000000000000053</v>
      </c>
    </row>
    <row r="14" spans="1:27" x14ac:dyDescent="0.25">
      <c r="A14" s="2">
        <v>5</v>
      </c>
      <c r="B14" t="s">
        <v>21</v>
      </c>
      <c r="C14" t="s">
        <v>22</v>
      </c>
      <c r="D14" s="2">
        <v>10</v>
      </c>
      <c r="E14" s="2">
        <v>9.98</v>
      </c>
      <c r="F14" s="2">
        <v>10.199999999999999</v>
      </c>
      <c r="G14" s="2">
        <v>10.1</v>
      </c>
      <c r="H14" s="2">
        <v>9.9</v>
      </c>
      <c r="I14" s="2">
        <v>10</v>
      </c>
      <c r="J14" s="2">
        <v>10.1</v>
      </c>
      <c r="K14" s="2">
        <v>10.3</v>
      </c>
      <c r="L14" s="2">
        <v>10.199999999999999</v>
      </c>
      <c r="M14" s="2">
        <v>10</v>
      </c>
      <c r="O14" s="2">
        <v>5</v>
      </c>
      <c r="P14" s="2" t="s">
        <v>21</v>
      </c>
      <c r="Q14" s="2" t="s">
        <v>22</v>
      </c>
      <c r="R14" s="2">
        <f>D14-10</f>
        <v>0</v>
      </c>
      <c r="S14" s="2">
        <f t="shared" ref="S14" si="30">E14-10</f>
        <v>-1.9999999999999574E-2</v>
      </c>
      <c r="T14" s="2">
        <f t="shared" ref="T14" si="31">F14-10</f>
        <v>0.19999999999999929</v>
      </c>
      <c r="U14" s="2">
        <f t="shared" ref="U14" si="32">G14-10</f>
        <v>9.9999999999999645E-2</v>
      </c>
      <c r="V14" s="2">
        <f t="shared" ref="V14" si="33">H14-10</f>
        <v>-9.9999999999999645E-2</v>
      </c>
      <c r="W14" s="2">
        <f t="shared" ref="W14" si="34">I14-10</f>
        <v>0</v>
      </c>
      <c r="X14" s="2">
        <f t="shared" ref="X14" si="35">J14-10</f>
        <v>9.9999999999999645E-2</v>
      </c>
      <c r="Y14" s="2">
        <f t="shared" ref="Y14" si="36">K14-10</f>
        <v>0.30000000000000071</v>
      </c>
      <c r="Z14" s="2">
        <f t="shared" ref="Z14" si="37">L14-10</f>
        <v>0.19999999999999929</v>
      </c>
      <c r="AA14" s="2">
        <f t="shared" ref="AA14" si="38">M14-10</f>
        <v>0</v>
      </c>
    </row>
    <row r="17" spans="1:6" ht="15.75" thickBot="1" x14ac:dyDescent="0.3"/>
    <row r="18" spans="1:6" ht="37.5" customHeight="1" thickBot="1" x14ac:dyDescent="0.3">
      <c r="A18" s="3"/>
      <c r="B18" s="4"/>
      <c r="C18" s="10" t="s">
        <v>23</v>
      </c>
      <c r="D18" s="11"/>
      <c r="E18" s="10" t="s">
        <v>24</v>
      </c>
      <c r="F18" s="11"/>
    </row>
    <row r="19" spans="1:6" ht="38.25" thickBot="1" x14ac:dyDescent="0.3">
      <c r="A19" s="5" t="s">
        <v>0</v>
      </c>
      <c r="B19" s="6" t="s">
        <v>2</v>
      </c>
      <c r="C19" s="6" t="s">
        <v>25</v>
      </c>
      <c r="D19" s="6" t="s">
        <v>26</v>
      </c>
      <c r="E19" s="6" t="s">
        <v>25</v>
      </c>
      <c r="F19" s="6" t="s">
        <v>26</v>
      </c>
    </row>
    <row r="20" spans="1:6" ht="38.25" thickBot="1" x14ac:dyDescent="0.3">
      <c r="A20" s="7">
        <v>1</v>
      </c>
      <c r="B20" s="8" t="str">
        <f>C2</f>
        <v>1,5кОМ</v>
      </c>
      <c r="C20" s="9">
        <f>AVERAGE(D2:M2)</f>
        <v>1.506</v>
      </c>
      <c r="D20" s="9">
        <f>_xlfn.STDEV.S(D2:M2)/SQRT(COUNT(D2:M2))</f>
        <v>7.0237691685684977E-3</v>
      </c>
      <c r="E20" s="9">
        <f>AVERAGE(D10:M10)</f>
        <v>1.502</v>
      </c>
      <c r="F20" s="9">
        <f>_xlfn.STDEV.S(D10:M10)/SQRT(COUNT(D10:M10))</f>
        <v>5.925462944877064E-3</v>
      </c>
    </row>
    <row r="21" spans="1:6" ht="38.25" thickBot="1" x14ac:dyDescent="0.3">
      <c r="A21" s="7">
        <v>2</v>
      </c>
      <c r="B21" s="8" t="str">
        <f t="shared" ref="B21:B24" si="39">C3</f>
        <v>56кОМ</v>
      </c>
      <c r="C21" s="9">
        <f t="shared" ref="C21:C24" si="40">AVERAGE(D3:M3)</f>
        <v>56.65</v>
      </c>
      <c r="D21" s="9">
        <f t="shared" ref="D21:D24" si="41">_xlfn.STDEV.S(D3:M3)/SQRT(COUNT(D3:M3))</f>
        <v>0.39895697345286063</v>
      </c>
      <c r="E21" s="9">
        <f t="shared" ref="E21:E24" si="42">AVERAGE(D11:M11)</f>
        <v>55.21</v>
      </c>
      <c r="F21" s="9">
        <f t="shared" ref="F21:F23" si="43">_xlfn.STDEV.S(D11:M11)/SQRT(COUNT(D11:M11))</f>
        <v>0.20080393975772068</v>
      </c>
    </row>
    <row r="22" spans="1:6" ht="19.5" thickBot="1" x14ac:dyDescent="0.3">
      <c r="A22" s="7">
        <v>3</v>
      </c>
      <c r="B22" s="8" t="str">
        <f t="shared" si="39"/>
        <v>31ГОм</v>
      </c>
      <c r="C22" s="9"/>
      <c r="D22" s="9"/>
      <c r="E22" s="9"/>
      <c r="F22" s="9"/>
    </row>
    <row r="23" spans="1:6" ht="38.25" thickBot="1" x14ac:dyDescent="0.3">
      <c r="A23" s="7">
        <v>4</v>
      </c>
      <c r="B23" s="8" t="str">
        <f t="shared" si="39"/>
        <v>5,1кОМ</v>
      </c>
      <c r="C23" s="9">
        <f t="shared" si="40"/>
        <v>5.0650000000000013</v>
      </c>
      <c r="D23" s="9">
        <f t="shared" si="41"/>
        <v>3.3936214677931668E-2</v>
      </c>
      <c r="E23" s="9">
        <f t="shared" si="42"/>
        <v>5.0200000000000005</v>
      </c>
      <c r="F23" s="9">
        <f t="shared" si="43"/>
        <v>4.163331998932264E-2</v>
      </c>
    </row>
    <row r="24" spans="1:6" ht="38.25" thickBot="1" x14ac:dyDescent="0.3">
      <c r="A24" s="7">
        <v>5</v>
      </c>
      <c r="B24" s="8" t="str">
        <f t="shared" si="39"/>
        <v>10кОМ</v>
      </c>
      <c r="C24" s="9">
        <f t="shared" si="40"/>
        <v>10.276</v>
      </c>
      <c r="D24" s="9">
        <f t="shared" si="41"/>
        <v>2.7373953556863798E-2</v>
      </c>
      <c r="E24" s="9">
        <f t="shared" si="42"/>
        <v>10.077999999999999</v>
      </c>
      <c r="F24" s="9">
        <f>_xlfn.STDEV.S(D14:M14)/SQRT(COUNT(D14:M14))</f>
        <v>3.9378505134992914E-2</v>
      </c>
    </row>
  </sheetData>
  <mergeCells count="2">
    <mergeCell ref="C18:D18"/>
    <mergeCell ref="E18:F18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Fanatsio PC</dc:creator>
  <cp:lastModifiedBy>Виталий Демьянцев</cp:lastModifiedBy>
  <cp:revision>2</cp:revision>
  <dcterms:created xsi:type="dcterms:W3CDTF">2015-06-05T18:19:34Z</dcterms:created>
  <dcterms:modified xsi:type="dcterms:W3CDTF">2026-03-06T09:59:30Z</dcterms:modified>
</cp:coreProperties>
</file>