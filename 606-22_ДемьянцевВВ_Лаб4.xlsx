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vital\OneDrive\Рабочий стол\metrology\"/>
    </mc:Choice>
  </mc:AlternateContent>
  <xr:revisionPtr revIDLastSave="0" documentId="13_ncr:1_{123E6542-2DE6-4CEF-9518-084F3BC6E3E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Лист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1" l="1"/>
  <c r="F21" i="1"/>
  <c r="F22" i="1"/>
  <c r="F23" i="1"/>
  <c r="F20" i="1"/>
  <c r="E21" i="1"/>
  <c r="E22" i="1"/>
  <c r="E23" i="1"/>
  <c r="E24" i="1"/>
  <c r="E20" i="1"/>
  <c r="D21" i="1"/>
  <c r="D22" i="1"/>
  <c r="D23" i="1"/>
  <c r="D24" i="1"/>
  <c r="D20" i="1"/>
  <c r="C21" i="1"/>
  <c r="C22" i="1"/>
  <c r="C23" i="1"/>
  <c r="C24" i="1"/>
  <c r="C20" i="1"/>
  <c r="B21" i="1"/>
  <c r="B22" i="1"/>
  <c r="B23" i="1"/>
  <c r="B24" i="1"/>
  <c r="B20" i="1"/>
</calcChain>
</file>

<file path=xl/sharedStrings.xml><?xml version="1.0" encoding="utf-8"?>
<sst xmlns="http://schemas.openxmlformats.org/spreadsheetml/2006/main" count="54" uniqueCount="27">
  <si>
    <t>№</t>
  </si>
  <si>
    <t>Цвет</t>
  </si>
  <si>
    <t>Номинал</t>
  </si>
  <si>
    <t>Замер 1</t>
  </si>
  <si>
    <t>Замер 2</t>
  </si>
  <si>
    <t>Замер 3</t>
  </si>
  <si>
    <t>Замер 4</t>
  </si>
  <si>
    <t>Замер 5</t>
  </si>
  <si>
    <t>Замер 6</t>
  </si>
  <si>
    <t>Замер 7</t>
  </si>
  <si>
    <t>Замер 8</t>
  </si>
  <si>
    <t>Замер 9</t>
  </si>
  <si>
    <t>Замер 10</t>
  </si>
  <si>
    <t>1К5</t>
  </si>
  <si>
    <t>1,5кОМ</t>
  </si>
  <si>
    <t>56К</t>
  </si>
  <si>
    <t>56кОМ</t>
  </si>
  <si>
    <t>ОКБЗ</t>
  </si>
  <si>
    <t>31ГОм</t>
  </si>
  <si>
    <t>ЗКЧКК</t>
  </si>
  <si>
    <t>5,1кОМ</t>
  </si>
  <si>
    <t>КЧОС</t>
  </si>
  <si>
    <t>10кОМ</t>
  </si>
  <si>
    <t>Первый мультиметр</t>
  </si>
  <si>
    <t>Второй мультиметр</t>
  </si>
  <si>
    <t>Ã</t>
  </si>
  <si>
    <t>S(Ã)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</si>
</sst>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scheme val="minor"/>
    </font>
    <font>
      <sz val="14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2" fontId="0" fillId="0" borderId="0" xfId="0" applyNumberFormat="1"/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justify" vertical="center" wrapText="1"/>
    </xf>
    <xf numFmtId="0" fontId="1" fillId="0" borderId="4" xfId="0" applyFont="1" applyBorder="1" applyAlignment="1">
      <alignment horizontal="justify" vertical="center" wrapText="1"/>
    </xf>
    <xf numFmtId="164" fontId="1" fillId="0" borderId="4" xfId="0" applyNumberFormat="1" applyFont="1" applyBorder="1" applyAlignment="1">
      <alignment horizontal="justify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Лист1!$C$2</c:f>
              <c:strCache>
                <c:ptCount val="1"/>
                <c:pt idx="0">
                  <c:v>1,5кОМ</c:v>
                </c:pt>
              </c:strCache>
            </c:strRef>
          </c:tx>
          <c:spPr>
            <a:gradFill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Лист1!$D$1:$M$1</c:f>
              <c:strCache>
                <c:ptCount val="10"/>
                <c:pt idx="0">
                  <c:v>Замер 1</c:v>
                </c:pt>
                <c:pt idx="1">
                  <c:v>Замер 2</c:v>
                </c:pt>
                <c:pt idx="2">
                  <c:v>Замер 3</c:v>
                </c:pt>
                <c:pt idx="3">
                  <c:v>Замер 4</c:v>
                </c:pt>
                <c:pt idx="4">
                  <c:v>Замер 5</c:v>
                </c:pt>
                <c:pt idx="5">
                  <c:v>Замер 6</c:v>
                </c:pt>
                <c:pt idx="6">
                  <c:v>Замер 7</c:v>
                </c:pt>
                <c:pt idx="7">
                  <c:v>Замер 8</c:v>
                </c:pt>
                <c:pt idx="8">
                  <c:v>Замер 9</c:v>
                </c:pt>
                <c:pt idx="9">
                  <c:v>Замер 10</c:v>
                </c:pt>
              </c:strCache>
            </c:strRef>
          </c:cat>
          <c:val>
            <c:numRef>
              <c:f>Лист1!$D$2:$M$2</c:f>
              <c:numCache>
                <c:formatCode>General</c:formatCode>
                <c:ptCount val="10"/>
                <c:pt idx="0">
                  <c:v>1.54</c:v>
                </c:pt>
                <c:pt idx="1">
                  <c:v>1.53</c:v>
                </c:pt>
                <c:pt idx="2" formatCode="0.00">
                  <c:v>1.52</c:v>
                </c:pt>
                <c:pt idx="3">
                  <c:v>1.5</c:v>
                </c:pt>
                <c:pt idx="4">
                  <c:v>1.49</c:v>
                </c:pt>
                <c:pt idx="5">
                  <c:v>1.51</c:v>
                </c:pt>
                <c:pt idx="6">
                  <c:v>1.48</c:v>
                </c:pt>
                <c:pt idx="7">
                  <c:v>1.5</c:v>
                </c:pt>
                <c:pt idx="8">
                  <c:v>1.52</c:v>
                </c:pt>
                <c:pt idx="9">
                  <c:v>1.47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81-4373-8744-4F5248FF5A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51801247"/>
        <c:axId val="2051795007"/>
      </c:barChart>
      <c:catAx>
        <c:axId val="2051801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51795007"/>
        <c:crosses val="autoZero"/>
        <c:auto val="1"/>
        <c:lblAlgn val="ctr"/>
        <c:lblOffset val="100"/>
        <c:noMultiLvlLbl val="0"/>
      </c:catAx>
      <c:valAx>
        <c:axId val="2051795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51801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447674</xdr:colOff>
      <xdr:row>0</xdr:row>
      <xdr:rowOff>0</xdr:rowOff>
    </xdr:from>
    <xdr:to>
      <xdr:col>22</xdr:col>
      <xdr:colOff>76199</xdr:colOff>
      <xdr:row>14</xdr:row>
      <xdr:rowOff>76200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66B26B7-A5A1-583D-C679-D3F0E1DFC4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4"/>
  <sheetViews>
    <sheetView tabSelected="1" workbookViewId="0">
      <selection activeCell="X14" sqref="X14"/>
    </sheetView>
  </sheetViews>
  <sheetFormatPr defaultRowHeight="15" x14ac:dyDescent="0.25"/>
  <cols>
    <col min="3" max="3" width="9.7109375" bestFit="1" customWidth="1"/>
    <col min="4" max="4" width="15.28515625" bestFit="1" customWidth="1"/>
    <col min="5" max="5" width="11" bestFit="1" customWidth="1"/>
    <col min="6" max="6" width="15.28515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>
        <v>1</v>
      </c>
      <c r="B2" t="s">
        <v>13</v>
      </c>
      <c r="C2" t="s">
        <v>14</v>
      </c>
      <c r="D2">
        <v>1.54</v>
      </c>
      <c r="E2">
        <v>1.53</v>
      </c>
      <c r="F2" s="1">
        <v>1.52</v>
      </c>
      <c r="G2">
        <v>1.5</v>
      </c>
      <c r="H2">
        <v>1.49</v>
      </c>
      <c r="I2">
        <v>1.51</v>
      </c>
      <c r="J2">
        <v>1.48</v>
      </c>
      <c r="K2">
        <v>1.5</v>
      </c>
      <c r="L2">
        <v>1.52</v>
      </c>
      <c r="M2">
        <v>1.47</v>
      </c>
    </row>
    <row r="3" spans="1:13" x14ac:dyDescent="0.25">
      <c r="A3">
        <v>2</v>
      </c>
      <c r="B3" t="s">
        <v>15</v>
      </c>
      <c r="C3" t="s">
        <v>16</v>
      </c>
      <c r="D3">
        <v>56.8</v>
      </c>
      <c r="E3">
        <v>58</v>
      </c>
      <c r="F3">
        <v>56.8</v>
      </c>
      <c r="G3">
        <v>56.5</v>
      </c>
      <c r="H3">
        <v>54.5</v>
      </c>
      <c r="I3">
        <v>56.8</v>
      </c>
      <c r="J3">
        <v>58</v>
      </c>
      <c r="K3">
        <v>56.8</v>
      </c>
      <c r="L3">
        <v>54.5</v>
      </c>
      <c r="M3">
        <v>57.8</v>
      </c>
    </row>
    <row r="4" spans="1:13" x14ac:dyDescent="0.25">
      <c r="A4">
        <v>3</v>
      </c>
      <c r="B4" t="s">
        <v>17</v>
      </c>
      <c r="C4" t="s">
        <v>18</v>
      </c>
      <c r="D4">
        <v>0.31</v>
      </c>
      <c r="E4">
        <v>0.32</v>
      </c>
      <c r="F4">
        <v>0.33</v>
      </c>
      <c r="G4">
        <v>0.34</v>
      </c>
      <c r="H4">
        <v>0.31</v>
      </c>
      <c r="I4">
        <v>0.33</v>
      </c>
      <c r="J4">
        <v>0.31</v>
      </c>
      <c r="K4">
        <v>0.33</v>
      </c>
      <c r="L4">
        <v>0.32</v>
      </c>
      <c r="M4">
        <v>0.3</v>
      </c>
    </row>
    <row r="5" spans="1:13" x14ac:dyDescent="0.25">
      <c r="A5">
        <v>4</v>
      </c>
      <c r="B5" t="s">
        <v>19</v>
      </c>
      <c r="C5" t="s">
        <v>20</v>
      </c>
      <c r="D5">
        <v>5.07</v>
      </c>
      <c r="E5">
        <v>5.03</v>
      </c>
      <c r="F5">
        <v>4.9000000000000004</v>
      </c>
      <c r="G5">
        <v>5.28</v>
      </c>
      <c r="H5">
        <v>5.03</v>
      </c>
      <c r="I5">
        <v>5.12</v>
      </c>
      <c r="J5">
        <v>5</v>
      </c>
      <c r="K5">
        <v>4.9800000000000004</v>
      </c>
      <c r="L5">
        <v>5.18</v>
      </c>
      <c r="M5">
        <v>5.0599999999999996</v>
      </c>
    </row>
    <row r="6" spans="1:13" x14ac:dyDescent="0.25">
      <c r="A6">
        <v>5</v>
      </c>
      <c r="B6" t="s">
        <v>21</v>
      </c>
      <c r="C6" t="s">
        <v>22</v>
      </c>
      <c r="D6">
        <v>10.3</v>
      </c>
      <c r="E6">
        <v>10.199999999999999</v>
      </c>
      <c r="F6">
        <v>10.15</v>
      </c>
      <c r="G6">
        <v>10.4</v>
      </c>
      <c r="H6">
        <v>10.38</v>
      </c>
      <c r="I6">
        <v>10.220000000000001</v>
      </c>
      <c r="J6">
        <v>10.31</v>
      </c>
      <c r="K6">
        <v>10.27</v>
      </c>
      <c r="L6">
        <v>10.18</v>
      </c>
      <c r="M6">
        <v>10.35</v>
      </c>
    </row>
    <row r="9" spans="1:13" x14ac:dyDescent="0.25">
      <c r="A9" s="2" t="s">
        <v>0</v>
      </c>
      <c r="B9" s="2" t="s">
        <v>1</v>
      </c>
      <c r="C9" s="2" t="s">
        <v>2</v>
      </c>
      <c r="D9" s="2" t="s">
        <v>3</v>
      </c>
      <c r="E9" s="2" t="s">
        <v>4</v>
      </c>
      <c r="F9" s="2" t="s">
        <v>5</v>
      </c>
      <c r="G9" s="2" t="s">
        <v>6</v>
      </c>
      <c r="H9" s="2" t="s">
        <v>7</v>
      </c>
      <c r="I9" s="2" t="s">
        <v>8</v>
      </c>
      <c r="J9" s="2" t="s">
        <v>9</v>
      </c>
      <c r="K9" s="2" t="s">
        <v>10</v>
      </c>
      <c r="L9" s="2" t="s">
        <v>11</v>
      </c>
      <c r="M9" s="2" t="s">
        <v>12</v>
      </c>
    </row>
    <row r="10" spans="1:13" x14ac:dyDescent="0.25">
      <c r="A10" s="2">
        <v>1</v>
      </c>
      <c r="B10" t="s">
        <v>13</v>
      </c>
      <c r="C10" t="s">
        <v>14</v>
      </c>
      <c r="D10" s="2">
        <v>1.5</v>
      </c>
      <c r="E10" s="2">
        <v>1.52</v>
      </c>
      <c r="F10" s="1">
        <v>1.48</v>
      </c>
      <c r="G10" s="2">
        <v>1.49</v>
      </c>
      <c r="H10" s="2">
        <v>1.51</v>
      </c>
      <c r="I10" s="2">
        <v>1.5</v>
      </c>
      <c r="J10" s="2">
        <v>1.53</v>
      </c>
      <c r="K10" s="2">
        <v>1.47</v>
      </c>
      <c r="L10" s="2">
        <v>1.5</v>
      </c>
      <c r="M10" s="2">
        <v>1.52</v>
      </c>
    </row>
    <row r="11" spans="1:13" x14ac:dyDescent="0.25">
      <c r="A11" s="2">
        <v>2</v>
      </c>
      <c r="B11" t="s">
        <v>15</v>
      </c>
      <c r="C11" t="s">
        <v>16</v>
      </c>
      <c r="D11" s="2">
        <v>54</v>
      </c>
      <c r="E11" s="2">
        <v>55.2</v>
      </c>
      <c r="F11" s="2">
        <v>56</v>
      </c>
      <c r="G11" s="2">
        <v>54.8</v>
      </c>
      <c r="H11" s="2">
        <v>56.2</v>
      </c>
      <c r="I11" s="2">
        <v>55.5</v>
      </c>
      <c r="J11" s="2">
        <v>55</v>
      </c>
      <c r="K11" s="2">
        <v>55.1</v>
      </c>
      <c r="L11" s="2">
        <v>55.5</v>
      </c>
      <c r="M11" s="2">
        <v>54.8</v>
      </c>
    </row>
    <row r="12" spans="1:13" x14ac:dyDescent="0.25">
      <c r="A12" s="2">
        <v>3</v>
      </c>
      <c r="B12" t="s">
        <v>17</v>
      </c>
      <c r="C12" t="s">
        <v>18</v>
      </c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3" x14ac:dyDescent="0.25">
      <c r="A13" s="2">
        <v>4</v>
      </c>
      <c r="B13" t="s">
        <v>19</v>
      </c>
      <c r="C13" t="s">
        <v>20</v>
      </c>
      <c r="D13" s="2">
        <v>5</v>
      </c>
      <c r="E13" s="2">
        <v>4.9000000000000004</v>
      </c>
      <c r="F13" s="2">
        <v>5.0999999999999996</v>
      </c>
      <c r="G13" s="2">
        <v>5.2</v>
      </c>
      <c r="H13" s="2">
        <v>4.8</v>
      </c>
      <c r="I13" s="2">
        <v>5</v>
      </c>
      <c r="J13" s="2">
        <v>5.0999999999999996</v>
      </c>
      <c r="K13" s="2">
        <v>5</v>
      </c>
      <c r="L13" s="2">
        <v>4.9000000000000004</v>
      </c>
      <c r="M13" s="2">
        <v>5.2</v>
      </c>
    </row>
    <row r="14" spans="1:13" x14ac:dyDescent="0.25">
      <c r="A14" s="2">
        <v>5</v>
      </c>
      <c r="B14" t="s">
        <v>21</v>
      </c>
      <c r="C14" t="s">
        <v>22</v>
      </c>
      <c r="D14" s="2">
        <v>10</v>
      </c>
      <c r="E14" s="2">
        <v>9.98</v>
      </c>
      <c r="F14" s="2">
        <v>10.199999999999999</v>
      </c>
      <c r="G14" s="2">
        <v>10.1</v>
      </c>
      <c r="H14" s="2">
        <v>9.9</v>
      </c>
      <c r="I14" s="2">
        <v>10</v>
      </c>
      <c r="J14" s="2">
        <v>10.1</v>
      </c>
      <c r="K14" s="2">
        <v>10.3</v>
      </c>
      <c r="L14" s="2">
        <v>10.199999999999999</v>
      </c>
      <c r="M14" s="2">
        <v>10</v>
      </c>
    </row>
    <row r="17" spans="1:6" ht="15.75" thickBot="1" x14ac:dyDescent="0.3"/>
    <row r="18" spans="1:6" ht="37.5" customHeight="1" thickBot="1" x14ac:dyDescent="0.3">
      <c r="A18" s="3"/>
      <c r="B18" s="4"/>
      <c r="C18" s="10" t="s">
        <v>23</v>
      </c>
      <c r="D18" s="11"/>
      <c r="E18" s="10" t="s">
        <v>24</v>
      </c>
      <c r="F18" s="11"/>
    </row>
    <row r="19" spans="1:6" ht="38.25" thickBot="1" x14ac:dyDescent="0.3">
      <c r="A19" s="5" t="s">
        <v>0</v>
      </c>
      <c r="B19" s="6" t="s">
        <v>2</v>
      </c>
      <c r="C19" s="6" t="s">
        <v>25</v>
      </c>
      <c r="D19" s="6" t="s">
        <v>26</v>
      </c>
      <c r="E19" s="6" t="s">
        <v>25</v>
      </c>
      <c r="F19" s="6" t="s">
        <v>26</v>
      </c>
    </row>
    <row r="20" spans="1:6" ht="38.25" thickBot="1" x14ac:dyDescent="0.3">
      <c r="A20" s="7">
        <v>1</v>
      </c>
      <c r="B20" s="8" t="str">
        <f>C2</f>
        <v>1,5кОМ</v>
      </c>
      <c r="C20" s="9">
        <f>AVERAGE(D2:M2)</f>
        <v>1.506</v>
      </c>
      <c r="D20" s="9">
        <f>_xlfn.STDEV.S(D2:M2)/SQRT(COUNT(D2:M2))</f>
        <v>7.0237691685684977E-3</v>
      </c>
      <c r="E20" s="9">
        <f>AVERAGE(D10:M10)</f>
        <v>1.502</v>
      </c>
      <c r="F20" s="9">
        <f>_xlfn.STDEV.S(D10:M10)/SQRT(COUNT(D10:M10))</f>
        <v>5.925462944877064E-3</v>
      </c>
    </row>
    <row r="21" spans="1:6" ht="38.25" thickBot="1" x14ac:dyDescent="0.3">
      <c r="A21" s="7">
        <v>2</v>
      </c>
      <c r="B21" s="8" t="str">
        <f t="shared" ref="B21:B24" si="0">C3</f>
        <v>56кОМ</v>
      </c>
      <c r="C21" s="9">
        <f t="shared" ref="C21:C24" si="1">AVERAGE(D3:M3)</f>
        <v>56.65</v>
      </c>
      <c r="D21" s="9">
        <f t="shared" ref="D21:D24" si="2">_xlfn.STDEV.S(D3:M3)/SQRT(COUNT(D3:M3))</f>
        <v>0.39895697345286063</v>
      </c>
      <c r="E21" s="9">
        <f t="shared" ref="E21:E24" si="3">AVERAGE(D11:M11)</f>
        <v>55.21</v>
      </c>
      <c r="F21" s="9">
        <f t="shared" ref="F21:F23" si="4">_xlfn.STDEV.S(D11:M11)/SQRT(COUNT(D11:M11))</f>
        <v>0.20080393975772068</v>
      </c>
    </row>
    <row r="22" spans="1:6" ht="19.5" thickBot="1" x14ac:dyDescent="0.3">
      <c r="A22" s="7">
        <v>3</v>
      </c>
      <c r="B22" s="8" t="str">
        <f t="shared" si="0"/>
        <v>31ГОм</v>
      </c>
      <c r="C22" s="9">
        <f t="shared" si="1"/>
        <v>0.31999999999999995</v>
      </c>
      <c r="D22" s="9">
        <f t="shared" si="2"/>
        <v>3.9440531887330807E-3</v>
      </c>
      <c r="E22" s="9" t="e">
        <f t="shared" si="3"/>
        <v>#DIV/0!</v>
      </c>
      <c r="F22" s="9" t="e">
        <f t="shared" si="4"/>
        <v>#DIV/0!</v>
      </c>
    </row>
    <row r="23" spans="1:6" ht="38.25" thickBot="1" x14ac:dyDescent="0.3">
      <c r="A23" s="7">
        <v>4</v>
      </c>
      <c r="B23" s="8" t="str">
        <f t="shared" si="0"/>
        <v>5,1кОМ</v>
      </c>
      <c r="C23" s="9">
        <f t="shared" si="1"/>
        <v>5.0650000000000013</v>
      </c>
      <c r="D23" s="9">
        <f t="shared" si="2"/>
        <v>3.3936214677931668E-2</v>
      </c>
      <c r="E23" s="9">
        <f t="shared" si="3"/>
        <v>5.0200000000000005</v>
      </c>
      <c r="F23" s="9">
        <f t="shared" si="4"/>
        <v>4.163331998932264E-2</v>
      </c>
    </row>
    <row r="24" spans="1:6" ht="38.25" thickBot="1" x14ac:dyDescent="0.3">
      <c r="A24" s="7">
        <v>5</v>
      </c>
      <c r="B24" s="8" t="str">
        <f t="shared" si="0"/>
        <v>10кОМ</v>
      </c>
      <c r="C24" s="9">
        <f t="shared" si="1"/>
        <v>10.276</v>
      </c>
      <c r="D24" s="9">
        <f t="shared" si="2"/>
        <v>2.7373953556863798E-2</v>
      </c>
      <c r="E24" s="9">
        <f t="shared" si="3"/>
        <v>10.077999999999999</v>
      </c>
      <c r="F24" s="9">
        <f>_xlfn.STDEV.S(D14:M14)/SQRT(COUNT(D14:M14))</f>
        <v>3.9378505134992914E-2</v>
      </c>
    </row>
  </sheetData>
  <mergeCells count="2">
    <mergeCell ref="C18:D18"/>
    <mergeCell ref="E18:F18"/>
  </mergeCells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Fanatsio PC</dc:creator>
  <cp:lastModifiedBy>Виталий Демьянцев</cp:lastModifiedBy>
  <cp:revision>2</cp:revision>
  <dcterms:created xsi:type="dcterms:W3CDTF">2015-06-05T18:19:34Z</dcterms:created>
  <dcterms:modified xsi:type="dcterms:W3CDTF">2026-03-05T19:02:22Z</dcterms:modified>
</cp:coreProperties>
</file>