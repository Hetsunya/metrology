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vital\OneDrive\Рабочий стол\metrology\"/>
    </mc:Choice>
  </mc:AlternateContent>
  <xr:revisionPtr revIDLastSave="0" documentId="13_ncr:1_{1B70861F-C7F2-4740-BD67-5ECBE85565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definedNames>
    <definedName name="_xlnm._FilterDatabase" localSheetId="0" hidden="1">Лист1!$M$10:$R$38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" i="1" l="1"/>
  <c r="T11" i="1"/>
  <c r="W25" i="1"/>
  <c r="U12" i="1"/>
  <c r="V12" i="1"/>
  <c r="W12" i="1"/>
  <c r="X12" i="1"/>
  <c r="U13" i="1"/>
  <c r="V13" i="1"/>
  <c r="W13" i="1"/>
  <c r="X13" i="1"/>
  <c r="U14" i="1"/>
  <c r="V14" i="1"/>
  <c r="W14" i="1"/>
  <c r="X14" i="1"/>
  <c r="U15" i="1"/>
  <c r="V15" i="1"/>
  <c r="W15" i="1"/>
  <c r="X15" i="1"/>
  <c r="U16" i="1"/>
  <c r="V16" i="1"/>
  <c r="W16" i="1"/>
  <c r="X16" i="1"/>
  <c r="U17" i="1"/>
  <c r="V17" i="1"/>
  <c r="W17" i="1"/>
  <c r="X17" i="1"/>
  <c r="U18" i="1"/>
  <c r="V18" i="1"/>
  <c r="W18" i="1"/>
  <c r="X18" i="1"/>
  <c r="U19" i="1"/>
  <c r="V19" i="1"/>
  <c r="W19" i="1"/>
  <c r="X19" i="1"/>
  <c r="U20" i="1"/>
  <c r="V20" i="1"/>
  <c r="W20" i="1"/>
  <c r="X20" i="1"/>
  <c r="U21" i="1"/>
  <c r="V21" i="1"/>
  <c r="W21" i="1"/>
  <c r="X21" i="1"/>
  <c r="Y21" i="1" s="1" a="1"/>
  <c r="Y21" i="1" s="1"/>
  <c r="U22" i="1"/>
  <c r="V22" i="1"/>
  <c r="W22" i="1"/>
  <c r="X22" i="1"/>
  <c r="U23" i="1"/>
  <c r="V23" i="1"/>
  <c r="W23" i="1"/>
  <c r="X23" i="1"/>
  <c r="U24" i="1"/>
  <c r="V24" i="1"/>
  <c r="W24" i="1"/>
  <c r="X24" i="1"/>
  <c r="U25" i="1"/>
  <c r="V25" i="1"/>
  <c r="X25" i="1"/>
  <c r="U26" i="1"/>
  <c r="V26" i="1"/>
  <c r="W26" i="1"/>
  <c r="X26" i="1"/>
  <c r="V11" i="1"/>
  <c r="W11" i="1"/>
  <c r="X11" i="1"/>
  <c r="U11" i="1"/>
  <c r="R17" i="1"/>
  <c r="R38" i="1"/>
  <c r="R23" i="1"/>
  <c r="R13" i="1"/>
  <c r="R14" i="1"/>
  <c r="R18" i="1"/>
  <c r="R20" i="1"/>
  <c r="R30" i="1"/>
  <c r="R15" i="1"/>
  <c r="R27" i="1"/>
  <c r="R34" i="1"/>
  <c r="R21" i="1"/>
  <c r="R19" i="1"/>
  <c r="R10" i="1"/>
  <c r="R24" i="1"/>
  <c r="R36" i="1"/>
  <c r="R35" i="1"/>
  <c r="R37" i="1"/>
  <c r="R11" i="1"/>
  <c r="R28" i="1"/>
  <c r="R29" i="1"/>
  <c r="R32" i="1"/>
  <c r="R16" i="1"/>
  <c r="R22" i="1"/>
  <c r="R12" i="1"/>
  <c r="R26" i="1"/>
  <c r="R25" i="1"/>
  <c r="R33" i="1"/>
  <c r="R31" i="1"/>
  <c r="T26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Y26" i="1" l="1" a="1"/>
  <c r="Y26" i="1" s="1"/>
  <c r="Y23" i="1" a="1"/>
  <c r="Y23" i="1" s="1"/>
  <c r="Z23" i="1" s="1"/>
  <c r="Y20" i="1" a="1"/>
  <c r="Y20" i="1" s="1"/>
  <c r="Y19" i="1" a="1"/>
  <c r="Y19" i="1" s="1"/>
  <c r="Z19" i="1" s="1"/>
  <c r="Y16" i="1" a="1"/>
  <c r="Y16" i="1" s="1"/>
  <c r="Z16" i="1" s="1"/>
  <c r="Y13" i="1" a="1"/>
  <c r="Y13" i="1" s="1"/>
  <c r="Z13" i="1" s="1"/>
  <c r="Y11" i="1" a="1"/>
  <c r="Y11" i="1" s="1"/>
  <c r="Z11" i="1" s="1"/>
  <c r="Y18" i="1" a="1"/>
  <c r="Y18" i="1" s="1"/>
  <c r="Z18" i="1" s="1"/>
  <c r="Y12" i="1" a="1"/>
  <c r="Y12" i="1" s="1"/>
  <c r="Z12" i="1" s="1"/>
  <c r="Y22" i="1" a="1"/>
  <c r="Y22" i="1" s="1"/>
  <c r="Z22" i="1" s="1"/>
  <c r="Y17" i="1" a="1"/>
  <c r="Y17" i="1" s="1"/>
  <c r="Z17" i="1" s="1"/>
  <c r="Y25" i="1" a="1"/>
  <c r="Y25" i="1" s="1"/>
  <c r="Z25" i="1" s="1"/>
  <c r="Y24" i="1" a="1"/>
  <c r="Y24" i="1" s="1"/>
  <c r="Z24" i="1" s="1"/>
  <c r="Y15" i="1" a="1"/>
  <c r="Y15" i="1" s="1"/>
  <c r="Z15" i="1" s="1"/>
  <c r="Y14" i="1" a="1"/>
  <c r="Y14" i="1" s="1"/>
  <c r="Z14" i="1" s="1"/>
  <c r="Z21" i="1"/>
  <c r="Z26" i="1"/>
  <c r="Z20" i="1"/>
  <c r="B44" i="1" l="1"/>
  <c r="B43" i="1"/>
  <c r="B45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<sst xmlns="http://schemas.openxmlformats.org/spreadsheetml/2006/main" count="30" uniqueCount="24">
  <si>
    <t>ГСЭ</t>
  </si>
  <si>
    <t>ЕН</t>
  </si>
  <si>
    <t>ОП</t>
  </si>
  <si>
    <t>СД</t>
  </si>
  <si>
    <t>q</t>
  </si>
  <si>
    <t>Аттестация</t>
  </si>
  <si>
    <t>Варианты заданий по циклам дисциплин</t>
  </si>
  <si>
    <t>Вариант задания</t>
  </si>
  <si>
    <t>Номер колонок из табл. 1.4 по циклам</t>
  </si>
  <si>
    <t>Ф.И.О. Студента</t>
  </si>
  <si>
    <t>EН</t>
  </si>
  <si>
    <t>Демьянцев.В</t>
  </si>
  <si>
    <t>Таблица исходных данных</t>
  </si>
  <si>
    <t>Таблица исходных данных по варианту</t>
  </si>
  <si>
    <t>Результаты оценки уровня подготовки специалистов</t>
  </si>
  <si>
    <t>№ п/п</t>
  </si>
  <si>
    <t>№ колонок</t>
  </si>
  <si>
    <t>№ студента по журналу</t>
  </si>
  <si>
    <t>Циклы</t>
  </si>
  <si>
    <t>Приемочное число</t>
  </si>
  <si>
    <t>Аттестовано</t>
  </si>
  <si>
    <t>Результат</t>
  </si>
  <si>
    <t>%</t>
  </si>
  <si>
    <t>Не аттестовано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</si>
</sst>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/>
    <xf numFmtId="2" fontId="1" fillId="0" borderId="0" xfId="0" applyNumberFormat="1" applyFont="1" applyAlignment="1">
      <alignment wrapText="1"/>
    </xf>
  </cellXfs>
  <cellStyles count="1">
    <cellStyle name="Обычный" xfId="0" builtinId="0"/>
  </cellStyles>
  <dxfs count="10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7"/>
  <sheetViews>
    <sheetView tabSelected="1" zoomScale="85" zoomScaleNormal="85" workbookViewId="0">
      <selection activeCell="B43" sqref="B43"/>
    </sheetView>
  </sheetViews>
  <sheetFormatPr defaultRowHeight="15" x14ac:dyDescent="0.25"/>
  <cols>
    <col min="1" max="1" width="13" style="4" customWidth="1"/>
    <col min="2" max="2" width="13.7109375" style="4" customWidth="1"/>
    <col min="3" max="3" width="10.7109375" style="4" customWidth="1"/>
    <col min="4" max="4" width="11.42578125" style="4" customWidth="1"/>
    <col min="5" max="5" width="11.28515625" style="4" customWidth="1"/>
    <col min="6" max="6" width="12.85546875" style="4" customWidth="1"/>
    <col min="7" max="15" width="9.140625" style="4"/>
    <col min="16" max="16" width="9.140625" style="4" customWidth="1"/>
    <col min="17" max="18" width="9.140625" style="4"/>
    <col min="19" max="19" width="9.140625" style="4" customWidth="1"/>
    <col min="20" max="20" width="12.140625" style="4" customWidth="1"/>
    <col min="21" max="25" width="9.140625" style="4"/>
    <col min="26" max="26" width="11.5703125" style="4" customWidth="1"/>
    <col min="27" max="27" width="9.140625" style="4"/>
    <col min="28" max="28" width="19.5703125" style="4" customWidth="1"/>
    <col min="29" max="16384" width="9.140625" style="4"/>
  </cols>
  <sheetData>
    <row r="1" spans="1:29" ht="15.75" x14ac:dyDescent="0.25">
      <c r="A1" s="2" t="s">
        <v>6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5.75" x14ac:dyDescent="0.25">
      <c r="A2" s="5" t="s">
        <v>7</v>
      </c>
      <c r="B2" s="2" t="s">
        <v>8</v>
      </c>
      <c r="C2" s="2"/>
      <c r="D2" s="2"/>
      <c r="E2" s="2"/>
      <c r="F2" s="5" t="s">
        <v>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15.75" x14ac:dyDescent="0.25">
      <c r="A3" s="5"/>
      <c r="B3" s="6" t="s">
        <v>0</v>
      </c>
      <c r="C3" s="6" t="s">
        <v>10</v>
      </c>
      <c r="D3" s="6" t="s">
        <v>2</v>
      </c>
      <c r="E3" s="6" t="s">
        <v>3</v>
      </c>
      <c r="F3" s="5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5.75" x14ac:dyDescent="0.25">
      <c r="A4" s="6">
        <v>3</v>
      </c>
      <c r="B4" s="6">
        <v>3</v>
      </c>
      <c r="C4" s="6">
        <v>4</v>
      </c>
      <c r="D4" s="6">
        <v>5</v>
      </c>
      <c r="E4" s="6">
        <v>6</v>
      </c>
      <c r="F4" s="6" t="s">
        <v>11</v>
      </c>
      <c r="G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15.7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5.75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5.75" x14ac:dyDescent="0.25">
      <c r="A7" s="2" t="s">
        <v>12</v>
      </c>
      <c r="B7" s="2"/>
      <c r="C7" s="2"/>
      <c r="D7" s="2"/>
      <c r="E7" s="2"/>
      <c r="F7" s="2"/>
      <c r="G7" s="2"/>
      <c r="H7" s="2"/>
      <c r="I7" s="2"/>
      <c r="J7" s="2"/>
      <c r="K7" s="2"/>
      <c r="L7" s="3"/>
      <c r="M7" s="7" t="s">
        <v>13</v>
      </c>
      <c r="N7" s="7"/>
      <c r="O7" s="7"/>
      <c r="P7" s="7"/>
      <c r="Q7" s="7"/>
      <c r="R7" s="3"/>
      <c r="S7" s="8" t="s">
        <v>14</v>
      </c>
      <c r="T7" s="9"/>
      <c r="U7" s="9"/>
      <c r="V7" s="9"/>
      <c r="W7" s="9"/>
      <c r="X7" s="9"/>
      <c r="Y7" s="9"/>
      <c r="Z7" s="10"/>
      <c r="AA7" s="3"/>
      <c r="AB7" s="3"/>
      <c r="AC7" s="3"/>
    </row>
    <row r="8" spans="1:29" ht="15.75" customHeight="1" x14ac:dyDescent="0.25">
      <c r="A8" s="5" t="s">
        <v>15</v>
      </c>
      <c r="B8" s="2" t="s">
        <v>16</v>
      </c>
      <c r="C8" s="2"/>
      <c r="D8" s="2"/>
      <c r="E8" s="2"/>
      <c r="F8" s="2"/>
      <c r="G8" s="2"/>
      <c r="H8" s="2"/>
      <c r="I8" s="2"/>
      <c r="J8" s="2"/>
      <c r="K8" s="2"/>
      <c r="L8" s="3"/>
      <c r="M8" s="7" t="s">
        <v>15</v>
      </c>
      <c r="N8" s="7" t="s">
        <v>16</v>
      </c>
      <c r="O8" s="7"/>
      <c r="P8" s="7"/>
      <c r="Q8" s="7"/>
      <c r="R8" s="3"/>
      <c r="S8" s="11" t="s">
        <v>15</v>
      </c>
      <c r="T8" s="12" t="s">
        <v>17</v>
      </c>
      <c r="U8" s="8" t="s">
        <v>18</v>
      </c>
      <c r="V8" s="9"/>
      <c r="W8" s="9"/>
      <c r="X8" s="10"/>
      <c r="Y8" s="11" t="s">
        <v>4</v>
      </c>
      <c r="Z8" s="11" t="s">
        <v>5</v>
      </c>
      <c r="AA8" s="3"/>
      <c r="AB8" s="3"/>
      <c r="AC8" s="3"/>
    </row>
    <row r="9" spans="1:29" ht="15.75" x14ac:dyDescent="0.25">
      <c r="A9" s="5"/>
      <c r="B9" s="6">
        <v>1</v>
      </c>
      <c r="C9" s="6">
        <v>2</v>
      </c>
      <c r="D9" s="6">
        <v>3</v>
      </c>
      <c r="E9" s="6">
        <v>4</v>
      </c>
      <c r="F9" s="6">
        <v>5</v>
      </c>
      <c r="G9" s="6">
        <v>6</v>
      </c>
      <c r="H9" s="6">
        <v>7</v>
      </c>
      <c r="I9" s="6">
        <v>8</v>
      </c>
      <c r="J9" s="6">
        <v>9</v>
      </c>
      <c r="K9" s="6">
        <v>0</v>
      </c>
      <c r="L9" s="3"/>
      <c r="M9" s="7"/>
      <c r="N9" s="6">
        <v>3</v>
      </c>
      <c r="O9" s="6">
        <v>4</v>
      </c>
      <c r="P9" s="6">
        <v>5</v>
      </c>
      <c r="Q9" s="6">
        <v>6</v>
      </c>
      <c r="R9" s="3"/>
      <c r="S9" s="13"/>
      <c r="T9" s="14"/>
      <c r="U9" s="6" t="s">
        <v>0</v>
      </c>
      <c r="V9" s="6" t="s">
        <v>1</v>
      </c>
      <c r="W9" s="6" t="s">
        <v>2</v>
      </c>
      <c r="X9" s="6" t="s">
        <v>3</v>
      </c>
      <c r="Y9" s="13"/>
      <c r="Z9" s="13"/>
      <c r="AA9" s="3"/>
      <c r="AB9" s="3"/>
      <c r="AC9" s="3"/>
    </row>
    <row r="10" spans="1:29" ht="15.75" x14ac:dyDescent="0.25">
      <c r="A10" s="6">
        <v>1</v>
      </c>
      <c r="B10" s="6">
        <v>4</v>
      </c>
      <c r="C10" s="6">
        <v>4</v>
      </c>
      <c r="D10" s="6">
        <v>5</v>
      </c>
      <c r="E10" s="6">
        <v>3</v>
      </c>
      <c r="F10" s="6">
        <v>4</v>
      </c>
      <c r="G10" s="6">
        <v>5</v>
      </c>
      <c r="H10" s="6">
        <v>5</v>
      </c>
      <c r="I10" s="6">
        <v>4</v>
      </c>
      <c r="J10" s="6">
        <v>5</v>
      </c>
      <c r="K10" s="6">
        <v>3</v>
      </c>
      <c r="L10" s="3"/>
      <c r="M10" s="6">
        <v>7</v>
      </c>
      <c r="N10" s="6">
        <v>4</v>
      </c>
      <c r="O10" s="6">
        <v>4</v>
      </c>
      <c r="P10" s="6">
        <v>5</v>
      </c>
      <c r="Q10" s="6">
        <v>5</v>
      </c>
      <c r="R10" s="3">
        <f t="shared" ref="R10:R38" ca="1" si="0">RAND()</f>
        <v>0.81344959095511282</v>
      </c>
      <c r="S10" s="15"/>
      <c r="T10" s="16"/>
      <c r="U10" s="6">
        <v>0.21</v>
      </c>
      <c r="V10" s="6">
        <v>0.24</v>
      </c>
      <c r="W10" s="6">
        <v>0.26</v>
      </c>
      <c r="X10" s="6">
        <v>0.28999999999999998</v>
      </c>
      <c r="Y10" s="15"/>
      <c r="Z10" s="15"/>
      <c r="AA10" s="3"/>
      <c r="AB10" s="3"/>
      <c r="AC10" s="3"/>
    </row>
    <row r="11" spans="1:29" ht="15.75" x14ac:dyDescent="0.25">
      <c r="A11" s="6">
        <v>2</v>
      </c>
      <c r="B11" s="6">
        <v>4</v>
      </c>
      <c r="C11" s="6">
        <v>4</v>
      </c>
      <c r="D11" s="6">
        <v>5</v>
      </c>
      <c r="E11" s="6">
        <v>4</v>
      </c>
      <c r="F11" s="6">
        <v>5</v>
      </c>
      <c r="G11" s="6">
        <v>4</v>
      </c>
      <c r="H11" s="6">
        <v>4</v>
      </c>
      <c r="I11" s="6">
        <v>5</v>
      </c>
      <c r="J11" s="6">
        <v>4</v>
      </c>
      <c r="K11" s="6">
        <v>4</v>
      </c>
      <c r="L11" s="3"/>
      <c r="M11" s="6">
        <v>27</v>
      </c>
      <c r="N11" s="6">
        <v>4</v>
      </c>
      <c r="O11" s="6">
        <v>5</v>
      </c>
      <c r="P11" s="6">
        <v>5</v>
      </c>
      <c r="Q11" s="6">
        <v>4</v>
      </c>
      <c r="R11" s="3">
        <f t="shared" ca="1" si="0"/>
        <v>0.43500777085762266</v>
      </c>
      <c r="S11" s="6">
        <v>1</v>
      </c>
      <c r="T11" s="6">
        <f>M10</f>
        <v>7</v>
      </c>
      <c r="U11" s="6" t="str">
        <f>IF(N10=5,"B",IF(N10=4,"C",IF(N10=3,"H","")))</f>
        <v>C</v>
      </c>
      <c r="V11" s="6" t="str">
        <f t="shared" ref="V11:X11" si="1">IF(O10=5,"B",IF(O10=4,"C",IF(O10=3,"H","")))</f>
        <v>C</v>
      </c>
      <c r="W11" s="6" t="str">
        <f t="shared" si="1"/>
        <v>B</v>
      </c>
      <c r="X11" s="6" t="str">
        <f t="shared" si="1"/>
        <v>B</v>
      </c>
      <c r="Y11" s="6" cm="1">
        <f t="array" ref="Y11">1-SUMPRODUCT(((U11:X11="H")+(U11:X11=""))*(U$10:X$10))-0.5*SUMPRODUCT((U11:X11="C")*(U$10:X$10))</f>
        <v>0.77500000000000002</v>
      </c>
      <c r="Z11" s="6" t="str">
        <f>IF(Y11&gt;=0.5,"Атт.", "Не атт.")</f>
        <v>Атт.</v>
      </c>
      <c r="AA11" s="3"/>
      <c r="AB11" s="3"/>
      <c r="AC11" s="3"/>
    </row>
    <row r="12" spans="1:29" ht="15.75" x14ac:dyDescent="0.25">
      <c r="A12" s="6">
        <v>3</v>
      </c>
      <c r="B12" s="6">
        <v>5</v>
      </c>
      <c r="C12" s="6">
        <v>3</v>
      </c>
      <c r="D12" s="6">
        <v>4</v>
      </c>
      <c r="E12" s="6">
        <v>5</v>
      </c>
      <c r="F12" s="6">
        <v>4</v>
      </c>
      <c r="G12" s="6">
        <v>4</v>
      </c>
      <c r="H12" s="6">
        <v>5</v>
      </c>
      <c r="I12" s="6">
        <v>3</v>
      </c>
      <c r="J12" s="6">
        <v>4</v>
      </c>
      <c r="K12" s="6">
        <v>5</v>
      </c>
      <c r="L12" s="3"/>
      <c r="M12" s="6">
        <v>15</v>
      </c>
      <c r="N12" s="6">
        <v>5</v>
      </c>
      <c r="O12" s="6">
        <v>3</v>
      </c>
      <c r="P12" s="6">
        <v>3</v>
      </c>
      <c r="Q12" s="6">
        <v>4</v>
      </c>
      <c r="R12" s="3">
        <f t="shared" ca="1" si="0"/>
        <v>0.42736334627292505</v>
      </c>
      <c r="S12" s="6">
        <v>2</v>
      </c>
      <c r="T12" s="6">
        <f t="shared" ref="T12:T26" si="2">M11</f>
        <v>27</v>
      </c>
      <c r="U12" s="6" t="str">
        <f t="shared" ref="U12:U26" si="3">IF(N11=5,"B",IF(N11=4,"C",IF(N11=3,"H","")))</f>
        <v>C</v>
      </c>
      <c r="V12" s="6" t="str">
        <f t="shared" ref="V12:V26" si="4">IF(O11=5,"B",IF(O11=4,"C",IF(O11=3,"H","")))</f>
        <v>B</v>
      </c>
      <c r="W12" s="6" t="str">
        <f t="shared" ref="W12:W26" si="5">IF(P11=5,"B",IF(P11=4,"C",IF(P11=3,"H","")))</f>
        <v>B</v>
      </c>
      <c r="X12" s="6" t="str">
        <f t="shared" ref="X12:X26" si="6">IF(Q11=5,"B",IF(Q11=4,"C",IF(Q11=3,"H","")))</f>
        <v>C</v>
      </c>
      <c r="Y12" s="6" cm="1">
        <f t="array" ref="Y12">1-SUMPRODUCT(((U12:X12="H")+(U12:X12=""))*(U$10:X$10))-0.5*SUMPRODUCT((U12:X12="C")*(U$10:X$10))</f>
        <v>0.75</v>
      </c>
      <c r="Z12" s="6" t="str">
        <f t="shared" ref="Z12:Z26" si="7">IF(Y12&gt;=0.5,"Атт.", "Не атт.")</f>
        <v>Атт.</v>
      </c>
      <c r="AA12" s="3"/>
      <c r="AB12" s="3"/>
      <c r="AC12" s="3"/>
    </row>
    <row r="13" spans="1:29" ht="15.75" x14ac:dyDescent="0.25">
      <c r="A13" s="6">
        <v>4</v>
      </c>
      <c r="B13" s="6">
        <v>4</v>
      </c>
      <c r="C13" s="6">
        <v>5</v>
      </c>
      <c r="D13" s="6">
        <v>3</v>
      </c>
      <c r="E13" s="6">
        <v>5</v>
      </c>
      <c r="F13" s="6">
        <v>5</v>
      </c>
      <c r="G13" s="6">
        <v>5</v>
      </c>
      <c r="H13" s="6">
        <v>3</v>
      </c>
      <c r="I13" s="6">
        <v>5</v>
      </c>
      <c r="J13" s="6">
        <v>4</v>
      </c>
      <c r="K13" s="6">
        <v>5</v>
      </c>
      <c r="L13" s="3"/>
      <c r="M13" s="6">
        <v>23</v>
      </c>
      <c r="N13" s="6">
        <v>3</v>
      </c>
      <c r="O13" s="6">
        <v>3</v>
      </c>
      <c r="P13" s="6">
        <v>5</v>
      </c>
      <c r="Q13" s="6">
        <v>4</v>
      </c>
      <c r="R13" s="3">
        <f t="shared" ca="1" si="0"/>
        <v>7.8977959456746794E-2</v>
      </c>
      <c r="S13" s="6">
        <v>3</v>
      </c>
      <c r="T13" s="6">
        <f t="shared" si="2"/>
        <v>15</v>
      </c>
      <c r="U13" s="6" t="str">
        <f t="shared" si="3"/>
        <v>B</v>
      </c>
      <c r="V13" s="6" t="str">
        <f t="shared" si="4"/>
        <v>H</v>
      </c>
      <c r="W13" s="6" t="str">
        <f t="shared" si="5"/>
        <v>H</v>
      </c>
      <c r="X13" s="6" t="str">
        <f t="shared" si="6"/>
        <v>C</v>
      </c>
      <c r="Y13" s="6" cm="1">
        <f t="array" ref="Y13">1-SUMPRODUCT(((U13:X13="H")+(U13:X13=""))*(U$10:X$10))-0.5*SUMPRODUCT((U13:X13="C")*(U$10:X$10))</f>
        <v>0.35499999999999998</v>
      </c>
      <c r="Z13" s="6" t="str">
        <f t="shared" si="7"/>
        <v>Не атт.</v>
      </c>
      <c r="AA13" s="3"/>
      <c r="AB13" s="3"/>
      <c r="AC13" s="3"/>
    </row>
    <row r="14" spans="1:29" ht="15.75" x14ac:dyDescent="0.25">
      <c r="A14" s="6">
        <v>5</v>
      </c>
      <c r="B14" s="6">
        <v>4</v>
      </c>
      <c r="C14" s="6">
        <v>5</v>
      </c>
      <c r="D14" s="6">
        <v>4</v>
      </c>
      <c r="E14" s="6">
        <v>4</v>
      </c>
      <c r="F14" s="6">
        <v>5</v>
      </c>
      <c r="G14" s="6">
        <v>3</v>
      </c>
      <c r="H14" s="6">
        <v>4</v>
      </c>
      <c r="I14" s="6">
        <v>5</v>
      </c>
      <c r="J14" s="6">
        <v>3</v>
      </c>
      <c r="K14" s="6">
        <v>4</v>
      </c>
      <c r="L14" s="3"/>
      <c r="M14" s="6">
        <v>6</v>
      </c>
      <c r="N14" s="6">
        <v>5</v>
      </c>
      <c r="O14" s="6">
        <v>5</v>
      </c>
      <c r="P14" s="6">
        <v>4</v>
      </c>
      <c r="Q14" s="6">
        <v>5</v>
      </c>
      <c r="R14" s="3">
        <f t="shared" ca="1" si="0"/>
        <v>0.98988003514716949</v>
      </c>
      <c r="S14" s="6">
        <v>4</v>
      </c>
      <c r="T14" s="6">
        <f t="shared" si="2"/>
        <v>23</v>
      </c>
      <c r="U14" s="6" t="str">
        <f t="shared" si="3"/>
        <v>H</v>
      </c>
      <c r="V14" s="6" t="str">
        <f t="shared" si="4"/>
        <v>H</v>
      </c>
      <c r="W14" s="6" t="str">
        <f t="shared" si="5"/>
        <v>B</v>
      </c>
      <c r="X14" s="6" t="str">
        <f t="shared" si="6"/>
        <v>C</v>
      </c>
      <c r="Y14" s="6" cm="1">
        <f t="array" ref="Y14">1-SUMPRODUCT(((U14:X14="H")+(U14:X14=""))*(U$10:X$10))-0.5*SUMPRODUCT((U14:X14="C")*(U$10:X$10))</f>
        <v>0.40500000000000003</v>
      </c>
      <c r="Z14" s="6" t="str">
        <f t="shared" si="7"/>
        <v>Не атт.</v>
      </c>
      <c r="AA14" s="3"/>
      <c r="AB14" s="3"/>
      <c r="AC14" s="3"/>
    </row>
    <row r="15" spans="1:29" ht="15.75" x14ac:dyDescent="0.25">
      <c r="A15" s="6">
        <v>6</v>
      </c>
      <c r="B15" s="6">
        <v>5</v>
      </c>
      <c r="C15" s="6">
        <v>4</v>
      </c>
      <c r="D15" s="6">
        <v>5</v>
      </c>
      <c r="E15" s="6">
        <v>5</v>
      </c>
      <c r="F15" s="6">
        <v>4</v>
      </c>
      <c r="G15" s="6">
        <v>5</v>
      </c>
      <c r="H15" s="6">
        <v>5</v>
      </c>
      <c r="I15" s="6">
        <v>4</v>
      </c>
      <c r="J15" s="6">
        <v>5</v>
      </c>
      <c r="K15" s="6">
        <v>5</v>
      </c>
      <c r="L15" s="3"/>
      <c r="M15" s="6">
        <v>14</v>
      </c>
      <c r="N15" s="6">
        <v>5</v>
      </c>
      <c r="O15" s="6">
        <v>5</v>
      </c>
      <c r="P15" s="6">
        <v>3</v>
      </c>
      <c r="Q15" s="6">
        <v>4</v>
      </c>
      <c r="R15" s="3">
        <f t="shared" ca="1" si="0"/>
        <v>0.4202575654694416</v>
      </c>
      <c r="S15" s="6">
        <v>5</v>
      </c>
      <c r="T15" s="6">
        <f t="shared" si="2"/>
        <v>6</v>
      </c>
      <c r="U15" s="6" t="str">
        <f t="shared" si="3"/>
        <v>B</v>
      </c>
      <c r="V15" s="6" t="str">
        <f t="shared" si="4"/>
        <v>B</v>
      </c>
      <c r="W15" s="6" t="str">
        <f t="shared" si="5"/>
        <v>C</v>
      </c>
      <c r="X15" s="6" t="str">
        <f t="shared" si="6"/>
        <v>B</v>
      </c>
      <c r="Y15" s="6" cm="1">
        <f t="array" ref="Y15">1-SUMPRODUCT(((U15:X15="H")+(U15:X15=""))*(U$10:X$10))-0.5*SUMPRODUCT((U15:X15="C")*(U$10:X$10))</f>
        <v>0.87</v>
      </c>
      <c r="Z15" s="6" t="str">
        <f t="shared" si="7"/>
        <v>Атт.</v>
      </c>
      <c r="AA15" s="3"/>
      <c r="AB15" s="3"/>
      <c r="AC15" s="3"/>
    </row>
    <row r="16" spans="1:29" ht="15.75" x14ac:dyDescent="0.25">
      <c r="A16" s="6">
        <v>7</v>
      </c>
      <c r="B16" s="6">
        <v>3</v>
      </c>
      <c r="C16" s="6">
        <v>5</v>
      </c>
      <c r="D16" s="6">
        <v>4</v>
      </c>
      <c r="E16" s="6">
        <v>4</v>
      </c>
      <c r="F16" s="6">
        <v>5</v>
      </c>
      <c r="G16" s="6">
        <v>5</v>
      </c>
      <c r="H16" s="6">
        <v>5</v>
      </c>
      <c r="I16" s="6">
        <v>3</v>
      </c>
      <c r="J16" s="6">
        <v>4</v>
      </c>
      <c r="K16" s="6">
        <v>4</v>
      </c>
      <c r="L16" s="3"/>
      <c r="M16" s="6">
        <v>18</v>
      </c>
      <c r="N16" s="6">
        <v>4</v>
      </c>
      <c r="O16" s="6">
        <v>5</v>
      </c>
      <c r="P16" s="6">
        <v>5</v>
      </c>
      <c r="Q16" s="6">
        <v>5</v>
      </c>
      <c r="R16" s="3">
        <f t="shared" ca="1" si="0"/>
        <v>0.75235794748482443</v>
      </c>
      <c r="S16" s="6">
        <v>6</v>
      </c>
      <c r="T16" s="6">
        <f t="shared" si="2"/>
        <v>14</v>
      </c>
      <c r="U16" s="6" t="str">
        <f t="shared" si="3"/>
        <v>B</v>
      </c>
      <c r="V16" s="6" t="str">
        <f t="shared" si="4"/>
        <v>B</v>
      </c>
      <c r="W16" s="6" t="str">
        <f t="shared" si="5"/>
        <v>H</v>
      </c>
      <c r="X16" s="6" t="str">
        <f t="shared" si="6"/>
        <v>C</v>
      </c>
      <c r="Y16" s="6" cm="1">
        <f t="array" ref="Y16">1-SUMPRODUCT(((U16:X16="H")+(U16:X16=""))*(U$10:X$10))-0.5*SUMPRODUCT((U16:X16="C")*(U$10:X$10))</f>
        <v>0.59499999999999997</v>
      </c>
      <c r="Z16" s="6" t="str">
        <f t="shared" si="7"/>
        <v>Атт.</v>
      </c>
      <c r="AA16" s="3"/>
      <c r="AB16" s="3"/>
      <c r="AC16" s="3"/>
    </row>
    <row r="17" spans="1:29" ht="15.75" x14ac:dyDescent="0.25">
      <c r="A17" s="6">
        <v>8</v>
      </c>
      <c r="B17" s="6">
        <v>4</v>
      </c>
      <c r="C17" s="6">
        <v>4</v>
      </c>
      <c r="D17" s="6">
        <v>4</v>
      </c>
      <c r="E17" s="6">
        <v>5</v>
      </c>
      <c r="F17" s="6">
        <v>5</v>
      </c>
      <c r="G17" s="6">
        <v>5</v>
      </c>
      <c r="H17" s="6">
        <v>3</v>
      </c>
      <c r="I17" s="6">
        <v>5</v>
      </c>
      <c r="J17" s="6">
        <v>3</v>
      </c>
      <c r="K17" s="6">
        <v>4</v>
      </c>
      <c r="L17" s="3"/>
      <c r="M17" s="6">
        <v>4</v>
      </c>
      <c r="N17" s="6">
        <v>3</v>
      </c>
      <c r="O17" s="6">
        <v>5</v>
      </c>
      <c r="P17" s="6">
        <v>5</v>
      </c>
      <c r="Q17" s="6">
        <v>5</v>
      </c>
      <c r="R17" s="3">
        <f t="shared" ca="1" si="0"/>
        <v>0.73152268574425416</v>
      </c>
      <c r="S17" s="6">
        <v>7</v>
      </c>
      <c r="T17" s="6">
        <f t="shared" si="2"/>
        <v>18</v>
      </c>
      <c r="U17" s="6" t="str">
        <f t="shared" si="3"/>
        <v>C</v>
      </c>
      <c r="V17" s="6" t="str">
        <f t="shared" si="4"/>
        <v>B</v>
      </c>
      <c r="W17" s="6" t="str">
        <f t="shared" si="5"/>
        <v>B</v>
      </c>
      <c r="X17" s="6" t="str">
        <f t="shared" si="6"/>
        <v>B</v>
      </c>
      <c r="Y17" s="6" cm="1">
        <f t="array" ref="Y17">1-SUMPRODUCT(((U17:X17="H")+(U17:X17=""))*(U$10:X$10))-0.5*SUMPRODUCT((U17:X17="C")*(U$10:X$10))</f>
        <v>0.89500000000000002</v>
      </c>
      <c r="Z17" s="6" t="str">
        <f t="shared" si="7"/>
        <v>Атт.</v>
      </c>
      <c r="AA17" s="3"/>
      <c r="AB17" s="3"/>
      <c r="AC17" s="3"/>
    </row>
    <row r="18" spans="1:29" ht="15.75" x14ac:dyDescent="0.25">
      <c r="A18" s="6">
        <v>9</v>
      </c>
      <c r="B18" s="6">
        <v>5</v>
      </c>
      <c r="C18" s="6">
        <v>5</v>
      </c>
      <c r="D18" s="6">
        <v>5</v>
      </c>
      <c r="E18" s="6">
        <v>5</v>
      </c>
      <c r="F18" s="6">
        <v>5</v>
      </c>
      <c r="G18" s="6">
        <v>3</v>
      </c>
      <c r="H18" s="6">
        <v>5</v>
      </c>
      <c r="I18" s="6">
        <v>5</v>
      </c>
      <c r="J18" s="6">
        <v>4</v>
      </c>
      <c r="K18" s="6">
        <v>4</v>
      </c>
      <c r="L18" s="3"/>
      <c r="M18" s="6">
        <v>20</v>
      </c>
      <c r="N18" s="6">
        <v>5</v>
      </c>
      <c r="O18" s="6">
        <v>3</v>
      </c>
      <c r="P18" s="6">
        <v>4</v>
      </c>
      <c r="Q18" s="6">
        <v>5</v>
      </c>
      <c r="R18" s="3">
        <f t="shared" ca="1" si="0"/>
        <v>0.14889018240663976</v>
      </c>
      <c r="S18" s="6">
        <v>8</v>
      </c>
      <c r="T18" s="6">
        <f t="shared" si="2"/>
        <v>4</v>
      </c>
      <c r="U18" s="6" t="str">
        <f t="shared" si="3"/>
        <v>H</v>
      </c>
      <c r="V18" s="6" t="str">
        <f t="shared" si="4"/>
        <v>B</v>
      </c>
      <c r="W18" s="6" t="str">
        <f t="shared" si="5"/>
        <v>B</v>
      </c>
      <c r="X18" s="6" t="str">
        <f t="shared" si="6"/>
        <v>B</v>
      </c>
      <c r="Y18" s="6" cm="1">
        <f t="array" ref="Y18">1-SUMPRODUCT(((U18:X18="H")+(U18:X18=""))*(U$10:X$10))-0.5*SUMPRODUCT((U18:X18="C")*(U$10:X$10))</f>
        <v>0.79</v>
      </c>
      <c r="Z18" s="6" t="str">
        <f t="shared" si="7"/>
        <v>Атт.</v>
      </c>
      <c r="AA18" s="3"/>
      <c r="AB18" s="3"/>
      <c r="AC18" s="3"/>
    </row>
    <row r="19" spans="1:29" ht="15.75" x14ac:dyDescent="0.25">
      <c r="A19" s="6">
        <v>10</v>
      </c>
      <c r="B19" s="6">
        <v>3</v>
      </c>
      <c r="C19" s="6">
        <v>5</v>
      </c>
      <c r="D19" s="6">
        <v>3</v>
      </c>
      <c r="E19" s="6">
        <v>4</v>
      </c>
      <c r="F19" s="6">
        <v>4</v>
      </c>
      <c r="G19" s="6">
        <v>4</v>
      </c>
      <c r="H19" s="6">
        <v>5</v>
      </c>
      <c r="I19" s="6">
        <v>5</v>
      </c>
      <c r="J19" s="6">
        <v>5</v>
      </c>
      <c r="K19" s="6">
        <v>4</v>
      </c>
      <c r="L19" s="3"/>
      <c r="M19" s="6">
        <v>13</v>
      </c>
      <c r="N19" s="6">
        <v>3</v>
      </c>
      <c r="O19" s="6">
        <v>4</v>
      </c>
      <c r="P19" s="6">
        <v>4</v>
      </c>
      <c r="Q19" s="6">
        <v>5</v>
      </c>
      <c r="R19" s="3">
        <f t="shared" ca="1" si="0"/>
        <v>0.19457812499817473</v>
      </c>
      <c r="S19" s="6">
        <v>9</v>
      </c>
      <c r="T19" s="6">
        <f t="shared" si="2"/>
        <v>20</v>
      </c>
      <c r="U19" s="6" t="str">
        <f t="shared" si="3"/>
        <v>B</v>
      </c>
      <c r="V19" s="6" t="str">
        <f t="shared" si="4"/>
        <v>H</v>
      </c>
      <c r="W19" s="6" t="str">
        <f t="shared" si="5"/>
        <v>C</v>
      </c>
      <c r="X19" s="6" t="str">
        <f t="shared" si="6"/>
        <v>B</v>
      </c>
      <c r="Y19" s="6" cm="1">
        <f t="array" ref="Y19">1-SUMPRODUCT(((U19:X19="H")+(U19:X19=""))*(U$10:X$10))-0.5*SUMPRODUCT((U19:X19="C")*(U$10:X$10))</f>
        <v>0.63</v>
      </c>
      <c r="Z19" s="6" t="str">
        <f t="shared" si="7"/>
        <v>Атт.</v>
      </c>
      <c r="AA19" s="3"/>
      <c r="AB19" s="3"/>
      <c r="AC19" s="3"/>
    </row>
    <row r="20" spans="1:29" ht="15.75" x14ac:dyDescent="0.25">
      <c r="A20" s="6">
        <v>11</v>
      </c>
      <c r="B20" s="6">
        <v>3</v>
      </c>
      <c r="C20" s="6">
        <v>3</v>
      </c>
      <c r="D20" s="6">
        <v>4</v>
      </c>
      <c r="E20" s="6">
        <v>4</v>
      </c>
      <c r="F20" s="6">
        <v>4</v>
      </c>
      <c r="G20" s="6">
        <v>4</v>
      </c>
      <c r="H20" s="6">
        <v>5</v>
      </c>
      <c r="I20" s="6">
        <v>5</v>
      </c>
      <c r="J20" s="6">
        <v>5</v>
      </c>
      <c r="K20" s="6">
        <v>5</v>
      </c>
      <c r="L20" s="3"/>
      <c r="M20" s="6">
        <v>26</v>
      </c>
      <c r="N20" s="6">
        <v>5</v>
      </c>
      <c r="O20" s="6">
        <v>4</v>
      </c>
      <c r="P20" s="6">
        <v>5</v>
      </c>
      <c r="Q20" s="6">
        <v>3</v>
      </c>
      <c r="R20" s="3">
        <f t="shared" ca="1" si="0"/>
        <v>7.6648334950991326E-2</v>
      </c>
      <c r="S20" s="6">
        <v>10</v>
      </c>
      <c r="T20" s="6">
        <f t="shared" si="2"/>
        <v>13</v>
      </c>
      <c r="U20" s="6" t="str">
        <f t="shared" si="3"/>
        <v>H</v>
      </c>
      <c r="V20" s="6" t="str">
        <f t="shared" si="4"/>
        <v>C</v>
      </c>
      <c r="W20" s="6" t="str">
        <f t="shared" si="5"/>
        <v>C</v>
      </c>
      <c r="X20" s="6" t="str">
        <f t="shared" si="6"/>
        <v>B</v>
      </c>
      <c r="Y20" s="6" cm="1">
        <f t="array" ref="Y20">1-SUMPRODUCT(((U20:X20="H")+(U20:X20=""))*(U$10:X$10))-0.5*SUMPRODUCT((U20:X20="C")*(U$10:X$10))</f>
        <v>0.54</v>
      </c>
      <c r="Z20" s="6" t="str">
        <f t="shared" si="7"/>
        <v>Атт.</v>
      </c>
      <c r="AA20" s="3"/>
      <c r="AB20" s="3"/>
      <c r="AC20" s="3"/>
    </row>
    <row r="21" spans="1:29" ht="15.75" x14ac:dyDescent="0.25">
      <c r="A21" s="6">
        <v>12</v>
      </c>
      <c r="B21" s="6">
        <v>4</v>
      </c>
      <c r="C21" s="6">
        <v>4</v>
      </c>
      <c r="D21" s="6">
        <v>4</v>
      </c>
      <c r="E21" s="6">
        <v>4</v>
      </c>
      <c r="F21" s="6">
        <v>5</v>
      </c>
      <c r="G21" s="6">
        <v>5</v>
      </c>
      <c r="H21" s="6">
        <v>5</v>
      </c>
      <c r="I21" s="6">
        <v>5</v>
      </c>
      <c r="J21" s="6">
        <v>3</v>
      </c>
      <c r="K21" s="6">
        <v>3</v>
      </c>
      <c r="L21" s="3"/>
      <c r="M21" s="6">
        <v>5</v>
      </c>
      <c r="N21" s="6">
        <v>4</v>
      </c>
      <c r="O21" s="6">
        <v>4</v>
      </c>
      <c r="P21" s="6">
        <v>5</v>
      </c>
      <c r="Q21" s="6">
        <v>3</v>
      </c>
      <c r="R21" s="3">
        <f t="shared" ca="1" si="0"/>
        <v>0.96945619919936954</v>
      </c>
      <c r="S21" s="6">
        <v>11</v>
      </c>
      <c r="T21" s="6">
        <f t="shared" si="2"/>
        <v>26</v>
      </c>
      <c r="U21" s="6" t="str">
        <f t="shared" si="3"/>
        <v>B</v>
      </c>
      <c r="V21" s="6" t="str">
        <f t="shared" si="4"/>
        <v>C</v>
      </c>
      <c r="W21" s="6" t="str">
        <f t="shared" si="5"/>
        <v>B</v>
      </c>
      <c r="X21" s="6" t="str">
        <f t="shared" si="6"/>
        <v>H</v>
      </c>
      <c r="Y21" s="6" cm="1">
        <f t="array" ref="Y21">1-SUMPRODUCT(((U21:X21="H")+(U21:X21=""))*(U$10:X$10))-0.5*SUMPRODUCT((U21:X21="C")*(U$10:X$10))</f>
        <v>0.59</v>
      </c>
      <c r="Z21" s="6" t="str">
        <f t="shared" si="7"/>
        <v>Атт.</v>
      </c>
      <c r="AA21" s="3"/>
      <c r="AB21" s="3"/>
      <c r="AC21" s="3"/>
    </row>
    <row r="22" spans="1:29" ht="15.75" x14ac:dyDescent="0.25">
      <c r="A22" s="6">
        <v>13</v>
      </c>
      <c r="B22" s="6">
        <v>4</v>
      </c>
      <c r="C22" s="6">
        <v>5</v>
      </c>
      <c r="D22" s="6">
        <v>3</v>
      </c>
      <c r="E22" s="6">
        <v>4</v>
      </c>
      <c r="F22" s="6">
        <v>4</v>
      </c>
      <c r="G22" s="6">
        <v>5</v>
      </c>
      <c r="H22" s="6">
        <v>5</v>
      </c>
      <c r="I22" s="6">
        <v>3</v>
      </c>
      <c r="J22" s="6">
        <v>4</v>
      </c>
      <c r="K22" s="6">
        <v>4</v>
      </c>
      <c r="L22" s="3"/>
      <c r="M22" s="6">
        <v>3</v>
      </c>
      <c r="N22" s="6">
        <v>4</v>
      </c>
      <c r="O22" s="6">
        <v>5</v>
      </c>
      <c r="P22" s="6">
        <v>4</v>
      </c>
      <c r="Q22" s="6">
        <v>4</v>
      </c>
      <c r="R22" s="3">
        <f t="shared" ca="1" si="0"/>
        <v>0.55473854820760915</v>
      </c>
      <c r="S22" s="6">
        <v>12</v>
      </c>
      <c r="T22" s="6">
        <f t="shared" si="2"/>
        <v>5</v>
      </c>
      <c r="U22" s="6" t="str">
        <f t="shared" si="3"/>
        <v>C</v>
      </c>
      <c r="V22" s="6" t="str">
        <f t="shared" si="4"/>
        <v>C</v>
      </c>
      <c r="W22" s="6" t="str">
        <f t="shared" si="5"/>
        <v>B</v>
      </c>
      <c r="X22" s="6" t="str">
        <f t="shared" si="6"/>
        <v>H</v>
      </c>
      <c r="Y22" s="6" cm="1">
        <f t="array" ref="Y22">1-SUMPRODUCT(((U22:X22="H")+(U22:X22=""))*(U$10:X$10))-0.5*SUMPRODUCT((U22:X22="C")*(U$10:X$10))</f>
        <v>0.48499999999999999</v>
      </c>
      <c r="Z22" s="6" t="str">
        <f t="shared" si="7"/>
        <v>Не атт.</v>
      </c>
      <c r="AA22" s="3"/>
      <c r="AB22" s="3"/>
      <c r="AC22" s="3"/>
    </row>
    <row r="23" spans="1:29" ht="15.75" x14ac:dyDescent="0.25">
      <c r="A23" s="6">
        <v>14</v>
      </c>
      <c r="B23" s="6">
        <v>4</v>
      </c>
      <c r="C23" s="6">
        <v>4</v>
      </c>
      <c r="D23" s="6">
        <v>5</v>
      </c>
      <c r="E23" s="6">
        <v>5</v>
      </c>
      <c r="F23" s="6">
        <v>3</v>
      </c>
      <c r="G23" s="6">
        <v>4</v>
      </c>
      <c r="H23" s="6">
        <v>4</v>
      </c>
      <c r="I23" s="6">
        <v>5</v>
      </c>
      <c r="J23" s="6">
        <v>5</v>
      </c>
      <c r="K23" s="6">
        <v>3</v>
      </c>
      <c r="L23" s="3"/>
      <c r="M23" s="6">
        <v>2</v>
      </c>
      <c r="N23" s="6">
        <v>5</v>
      </c>
      <c r="O23" s="6">
        <v>4</v>
      </c>
      <c r="P23" s="6">
        <v>5</v>
      </c>
      <c r="Q23" s="6">
        <v>4</v>
      </c>
      <c r="R23" s="3">
        <f t="shared" ca="1" si="0"/>
        <v>0.4584090785388808</v>
      </c>
      <c r="S23" s="6">
        <v>13</v>
      </c>
      <c r="T23" s="6">
        <f t="shared" si="2"/>
        <v>3</v>
      </c>
      <c r="U23" s="6" t="str">
        <f t="shared" si="3"/>
        <v>C</v>
      </c>
      <c r="V23" s="6" t="str">
        <f t="shared" si="4"/>
        <v>B</v>
      </c>
      <c r="W23" s="6" t="str">
        <f t="shared" si="5"/>
        <v>C</v>
      </c>
      <c r="X23" s="6" t="str">
        <f t="shared" si="6"/>
        <v>C</v>
      </c>
      <c r="Y23" s="6" cm="1">
        <f t="array" ref="Y23">1-SUMPRODUCT(((U23:X23="H")+(U23:X23=""))*(U$10:X$10))-0.5*SUMPRODUCT((U23:X23="C")*(U$10:X$10))</f>
        <v>0.62</v>
      </c>
      <c r="Z23" s="6" t="str">
        <f t="shared" si="7"/>
        <v>Атт.</v>
      </c>
      <c r="AA23" s="3"/>
      <c r="AB23" s="3"/>
      <c r="AC23" s="3"/>
    </row>
    <row r="24" spans="1:29" ht="15.75" x14ac:dyDescent="0.25">
      <c r="A24" s="6">
        <v>15</v>
      </c>
      <c r="B24" s="6">
        <v>5</v>
      </c>
      <c r="C24" s="6">
        <v>5</v>
      </c>
      <c r="D24" s="6">
        <v>5</v>
      </c>
      <c r="E24" s="6">
        <v>3</v>
      </c>
      <c r="F24" s="6">
        <v>3</v>
      </c>
      <c r="G24" s="6">
        <v>4</v>
      </c>
      <c r="H24" s="6">
        <v>4</v>
      </c>
      <c r="I24" s="6">
        <v>4</v>
      </c>
      <c r="J24" s="6">
        <v>5</v>
      </c>
      <c r="K24" s="6">
        <v>5</v>
      </c>
      <c r="L24" s="3"/>
      <c r="M24" s="6">
        <v>12</v>
      </c>
      <c r="N24" s="6">
        <v>4</v>
      </c>
      <c r="O24" s="6">
        <v>4</v>
      </c>
      <c r="P24" s="6">
        <v>5</v>
      </c>
      <c r="Q24" s="6">
        <v>5</v>
      </c>
      <c r="R24" s="3">
        <f t="shared" ca="1" si="0"/>
        <v>0.2011969380246349</v>
      </c>
      <c r="S24" s="6">
        <v>14</v>
      </c>
      <c r="T24" s="6">
        <f t="shared" si="2"/>
        <v>2</v>
      </c>
      <c r="U24" s="6" t="str">
        <f t="shared" si="3"/>
        <v>B</v>
      </c>
      <c r="V24" s="6" t="str">
        <f t="shared" si="4"/>
        <v>C</v>
      </c>
      <c r="W24" s="6" t="str">
        <f t="shared" si="5"/>
        <v>B</v>
      </c>
      <c r="X24" s="6" t="str">
        <f t="shared" si="6"/>
        <v>C</v>
      </c>
      <c r="Y24" s="6" cm="1">
        <f t="array" ref="Y24">1-SUMPRODUCT(((U24:X24="H")+(U24:X24=""))*(U$10:X$10))-0.5*SUMPRODUCT((U24:X24="C")*(U$10:X$10))</f>
        <v>0.73499999999999999</v>
      </c>
      <c r="Z24" s="6" t="str">
        <f t="shared" si="7"/>
        <v>Атт.</v>
      </c>
      <c r="AA24" s="3"/>
      <c r="AB24" s="3"/>
      <c r="AC24" s="3"/>
    </row>
    <row r="25" spans="1:29" ht="15.75" x14ac:dyDescent="0.25">
      <c r="A25" s="6">
        <v>16</v>
      </c>
      <c r="B25" s="6">
        <v>5</v>
      </c>
      <c r="C25" s="6">
        <v>4</v>
      </c>
      <c r="D25" s="6">
        <v>3</v>
      </c>
      <c r="E25" s="6">
        <v>5</v>
      </c>
      <c r="F25" s="6">
        <v>4</v>
      </c>
      <c r="G25" s="6">
        <v>3</v>
      </c>
      <c r="H25" s="6">
        <v>5</v>
      </c>
      <c r="I25" s="6">
        <v>4</v>
      </c>
      <c r="J25" s="6">
        <v>5</v>
      </c>
      <c r="K25" s="6">
        <v>4</v>
      </c>
      <c r="L25" s="3"/>
      <c r="M25" s="6">
        <v>10</v>
      </c>
      <c r="N25" s="6">
        <v>3</v>
      </c>
      <c r="O25" s="6">
        <v>4</v>
      </c>
      <c r="P25" s="6">
        <v>4</v>
      </c>
      <c r="Q25" s="6">
        <v>4</v>
      </c>
      <c r="R25" s="3">
        <f t="shared" ca="1" si="0"/>
        <v>0.79123127021035811</v>
      </c>
      <c r="S25" s="6">
        <v>15</v>
      </c>
      <c r="T25" s="6">
        <f t="shared" si="2"/>
        <v>12</v>
      </c>
      <c r="U25" s="6" t="str">
        <f t="shared" si="3"/>
        <v>C</v>
      </c>
      <c r="V25" s="6" t="str">
        <f t="shared" si="4"/>
        <v>C</v>
      </c>
      <c r="W25" s="6" t="str">
        <f>IF(P24=5,"B",IF(P24=4,"C",IF(P24=3,"H","")))</f>
        <v>B</v>
      </c>
      <c r="X25" s="6" t="str">
        <f t="shared" si="6"/>
        <v>B</v>
      </c>
      <c r="Y25" s="6" cm="1">
        <f t="array" ref="Y25">1-SUMPRODUCT(((U25:X25="H")+(U25:X25=""))*(U$10:X$10))-0.5*SUMPRODUCT((U25:X25="C")*(U$10:X$10))</f>
        <v>0.77500000000000002</v>
      </c>
      <c r="Z25" s="6" t="str">
        <f t="shared" si="7"/>
        <v>Атт.</v>
      </c>
      <c r="AA25" s="3"/>
      <c r="AB25" s="3"/>
      <c r="AC25" s="3"/>
    </row>
    <row r="26" spans="1:29" ht="15.75" x14ac:dyDescent="0.25">
      <c r="A26" s="6">
        <v>17</v>
      </c>
      <c r="B26" s="6">
        <v>5</v>
      </c>
      <c r="C26" s="6">
        <v>5</v>
      </c>
      <c r="D26" s="6">
        <v>4</v>
      </c>
      <c r="E26" s="6">
        <v>4</v>
      </c>
      <c r="F26" s="6">
        <v>3</v>
      </c>
      <c r="G26" s="6">
        <v>5</v>
      </c>
      <c r="H26" s="6">
        <v>5</v>
      </c>
      <c r="I26" s="6">
        <v>4</v>
      </c>
      <c r="J26" s="6">
        <v>4</v>
      </c>
      <c r="K26" s="6">
        <v>3</v>
      </c>
      <c r="L26" s="3"/>
      <c r="M26" s="6">
        <v>16</v>
      </c>
      <c r="N26" s="6">
        <v>3</v>
      </c>
      <c r="O26" s="6">
        <v>5</v>
      </c>
      <c r="P26" s="6">
        <v>4</v>
      </c>
      <c r="Q26" s="6">
        <v>3</v>
      </c>
      <c r="R26" s="3">
        <f t="shared" ca="1" si="0"/>
        <v>0.81167852407213514</v>
      </c>
      <c r="S26" s="6">
        <v>16</v>
      </c>
      <c r="T26" s="6">
        <f t="shared" si="2"/>
        <v>10</v>
      </c>
      <c r="U26" s="6" t="str">
        <f t="shared" si="3"/>
        <v>H</v>
      </c>
      <c r="V26" s="6" t="str">
        <f t="shared" si="4"/>
        <v>C</v>
      </c>
      <c r="W26" s="6" t="str">
        <f t="shared" si="5"/>
        <v>C</v>
      </c>
      <c r="X26" s="6" t="str">
        <f t="shared" si="6"/>
        <v>C</v>
      </c>
      <c r="Y26" s="6" cm="1">
        <f t="array" ref="Y26">1-SUMPRODUCT(((U26:X26="H")+(U26:X26=""))*(U$10:X$10))-0.5*SUMPRODUCT((U26:X26="C")*(U$10:X$10))</f>
        <v>0.39500000000000002</v>
      </c>
      <c r="Z26" s="6" t="str">
        <f t="shared" si="7"/>
        <v>Не атт.</v>
      </c>
      <c r="AA26" s="3"/>
      <c r="AB26" s="3"/>
      <c r="AC26" s="3"/>
    </row>
    <row r="27" spans="1:29" ht="15.75" x14ac:dyDescent="0.25">
      <c r="A27" s="6">
        <v>18</v>
      </c>
      <c r="B27" s="6">
        <v>4</v>
      </c>
      <c r="C27" s="6">
        <v>4</v>
      </c>
      <c r="D27" s="6">
        <v>4</v>
      </c>
      <c r="E27" s="6">
        <v>5</v>
      </c>
      <c r="F27" s="6">
        <v>5</v>
      </c>
      <c r="G27" s="6">
        <v>5</v>
      </c>
      <c r="H27" s="6">
        <v>3</v>
      </c>
      <c r="I27" s="6">
        <v>3</v>
      </c>
      <c r="J27" s="6">
        <v>4</v>
      </c>
      <c r="K27" s="6">
        <v>4</v>
      </c>
      <c r="L27" s="3"/>
      <c r="M27" s="6">
        <v>28</v>
      </c>
      <c r="N27" s="6">
        <v>4</v>
      </c>
      <c r="O27" s="6">
        <v>5</v>
      </c>
      <c r="P27" s="6">
        <v>4</v>
      </c>
      <c r="Q27" s="6"/>
      <c r="R27" s="3">
        <f t="shared" ca="1" si="0"/>
        <v>0.24459811989115843</v>
      </c>
      <c r="S27" s="17"/>
      <c r="T27" s="17"/>
      <c r="U27" s="17"/>
      <c r="V27" s="17"/>
      <c r="W27" s="17"/>
      <c r="X27" s="3"/>
      <c r="Y27" s="3"/>
      <c r="Z27" s="3"/>
      <c r="AA27" s="3"/>
      <c r="AB27" s="3"/>
      <c r="AC27" s="3"/>
    </row>
    <row r="28" spans="1:29" ht="15.75" x14ac:dyDescent="0.25">
      <c r="A28" s="6">
        <v>19</v>
      </c>
      <c r="B28" s="6">
        <v>4</v>
      </c>
      <c r="C28" s="6">
        <v>4</v>
      </c>
      <c r="D28" s="6">
        <v>5</v>
      </c>
      <c r="E28" s="6">
        <v>5</v>
      </c>
      <c r="F28" s="6">
        <v>5</v>
      </c>
      <c r="G28" s="6">
        <v>3</v>
      </c>
      <c r="H28" s="6">
        <v>3</v>
      </c>
      <c r="I28" s="6">
        <v>4</v>
      </c>
      <c r="J28" s="6">
        <v>4</v>
      </c>
      <c r="K28" s="6">
        <v>4</v>
      </c>
      <c r="L28" s="3"/>
      <c r="M28" s="6">
        <v>19</v>
      </c>
      <c r="N28" s="6">
        <v>5</v>
      </c>
      <c r="O28" s="6">
        <v>5</v>
      </c>
      <c r="P28" s="6">
        <v>5</v>
      </c>
      <c r="Q28" s="6">
        <v>3</v>
      </c>
      <c r="R28" s="3">
        <f t="shared" ca="1" si="0"/>
        <v>0.48137426232611646</v>
      </c>
      <c r="S28" s="18"/>
      <c r="T28" s="18"/>
      <c r="U28" s="18"/>
      <c r="V28" s="18"/>
      <c r="W28" s="18"/>
      <c r="X28" s="3"/>
      <c r="Y28" s="3"/>
      <c r="Z28" s="3"/>
      <c r="AA28" s="3"/>
      <c r="AB28" s="3"/>
      <c r="AC28" s="3"/>
    </row>
    <row r="29" spans="1:29" ht="15.75" x14ac:dyDescent="0.25">
      <c r="A29" s="6">
        <v>20</v>
      </c>
      <c r="B29" s="6">
        <v>4</v>
      </c>
      <c r="C29" s="6">
        <v>5</v>
      </c>
      <c r="D29" s="6">
        <v>5</v>
      </c>
      <c r="E29" s="6">
        <v>3</v>
      </c>
      <c r="F29" s="6">
        <v>4</v>
      </c>
      <c r="G29" s="6">
        <v>5</v>
      </c>
      <c r="H29" s="6">
        <v>5</v>
      </c>
      <c r="I29" s="6">
        <v>4</v>
      </c>
      <c r="J29" s="6">
        <v>3</v>
      </c>
      <c r="K29" s="6">
        <v>5</v>
      </c>
      <c r="L29" s="3"/>
      <c r="M29" s="6">
        <v>11</v>
      </c>
      <c r="N29" s="6">
        <v>4</v>
      </c>
      <c r="O29" s="6">
        <v>4</v>
      </c>
      <c r="P29" s="6">
        <v>4</v>
      </c>
      <c r="Q29" s="6">
        <v>4</v>
      </c>
      <c r="R29" s="3">
        <f t="shared" ca="1" si="0"/>
        <v>0.81576106338469856</v>
      </c>
      <c r="S29" s="18"/>
      <c r="T29" s="18"/>
      <c r="U29" s="18"/>
      <c r="V29" s="18"/>
      <c r="W29" s="18"/>
      <c r="X29" s="3"/>
      <c r="Y29" s="3"/>
      <c r="Z29" s="3"/>
      <c r="AA29" s="3"/>
      <c r="AB29" s="3"/>
      <c r="AC29" s="3"/>
    </row>
    <row r="30" spans="1:29" ht="15.75" x14ac:dyDescent="0.25">
      <c r="A30" s="6">
        <v>21</v>
      </c>
      <c r="B30" s="6">
        <v>5</v>
      </c>
      <c r="C30" s="6">
        <v>4</v>
      </c>
      <c r="D30" s="6">
        <v>4</v>
      </c>
      <c r="E30" s="6">
        <v>3</v>
      </c>
      <c r="F30" s="6">
        <v>5</v>
      </c>
      <c r="G30" s="6">
        <v>4</v>
      </c>
      <c r="H30" s="6">
        <v>4</v>
      </c>
      <c r="I30" s="6">
        <v>5</v>
      </c>
      <c r="J30" s="6">
        <v>5</v>
      </c>
      <c r="K30" s="6">
        <v>4</v>
      </c>
      <c r="L30" s="3"/>
      <c r="M30" s="6">
        <v>21</v>
      </c>
      <c r="N30" s="6">
        <v>4</v>
      </c>
      <c r="O30" s="6">
        <v>3</v>
      </c>
      <c r="P30" s="6">
        <v>5</v>
      </c>
      <c r="Q30" s="6">
        <v>4</v>
      </c>
      <c r="R30" s="3">
        <f t="shared" ca="1" si="0"/>
        <v>0.37835172740020417</v>
      </c>
      <c r="S30" s="18"/>
      <c r="T30" s="18"/>
      <c r="U30" s="18"/>
      <c r="V30" s="18"/>
      <c r="W30" s="18"/>
      <c r="X30" s="3"/>
      <c r="Y30" s="3"/>
      <c r="Z30" s="3"/>
      <c r="AA30" s="3"/>
      <c r="AB30" s="3"/>
      <c r="AC30" s="3"/>
    </row>
    <row r="31" spans="1:29" ht="15.75" x14ac:dyDescent="0.25">
      <c r="A31" s="6">
        <v>22</v>
      </c>
      <c r="B31" s="6">
        <v>5</v>
      </c>
      <c r="C31" s="6">
        <v>5</v>
      </c>
      <c r="D31" s="6">
        <v>5</v>
      </c>
      <c r="E31" s="6">
        <v>4</v>
      </c>
      <c r="F31" s="6">
        <v>4</v>
      </c>
      <c r="G31" s="6">
        <v>4</v>
      </c>
      <c r="H31" s="6">
        <v>3</v>
      </c>
      <c r="I31" s="6">
        <v>3</v>
      </c>
      <c r="J31" s="6">
        <v>4</v>
      </c>
      <c r="K31" s="6">
        <v>4</v>
      </c>
      <c r="L31" s="3"/>
      <c r="M31" s="6">
        <v>24</v>
      </c>
      <c r="N31" s="6">
        <v>4</v>
      </c>
      <c r="O31" s="6">
        <v>5</v>
      </c>
      <c r="P31" s="6">
        <v>5</v>
      </c>
      <c r="Q31" s="6">
        <v>3</v>
      </c>
      <c r="R31" s="3">
        <f t="shared" ca="1" si="0"/>
        <v>0.43406774227216172</v>
      </c>
    </row>
    <row r="32" spans="1:29" ht="15.75" x14ac:dyDescent="0.25">
      <c r="A32" s="6">
        <v>23</v>
      </c>
      <c r="B32" s="6">
        <v>5</v>
      </c>
      <c r="C32" s="6">
        <v>4</v>
      </c>
      <c r="D32" s="6">
        <v>3</v>
      </c>
      <c r="E32" s="6">
        <v>3</v>
      </c>
      <c r="F32" s="6">
        <v>5</v>
      </c>
      <c r="G32" s="6">
        <v>4</v>
      </c>
      <c r="H32" s="6">
        <v>4</v>
      </c>
      <c r="I32" s="6">
        <v>4</v>
      </c>
      <c r="J32" s="6">
        <v>5</v>
      </c>
      <c r="K32" s="6">
        <v>5</v>
      </c>
      <c r="L32" s="3"/>
      <c r="M32" s="6">
        <v>8</v>
      </c>
      <c r="N32" s="6">
        <v>4</v>
      </c>
      <c r="O32" s="6">
        <v>5</v>
      </c>
      <c r="P32" s="6">
        <v>5</v>
      </c>
      <c r="Q32" s="6">
        <v>5</v>
      </c>
      <c r="R32" s="3">
        <f t="shared" ca="1" si="0"/>
        <v>0.49350174258881618</v>
      </c>
    </row>
    <row r="33" spans="1:18" ht="15.75" x14ac:dyDescent="0.25">
      <c r="A33" s="6">
        <v>24</v>
      </c>
      <c r="B33" s="6">
        <v>3</v>
      </c>
      <c r="C33" s="6">
        <v>4</v>
      </c>
      <c r="D33" s="6">
        <v>4</v>
      </c>
      <c r="E33" s="6">
        <v>5</v>
      </c>
      <c r="F33" s="6">
        <v>5</v>
      </c>
      <c r="G33" s="6">
        <v>3</v>
      </c>
      <c r="H33" s="6">
        <v>4</v>
      </c>
      <c r="I33" s="6">
        <v>5</v>
      </c>
      <c r="J33" s="6">
        <v>4</v>
      </c>
      <c r="K33" s="6">
        <v>5</v>
      </c>
      <c r="L33" s="3"/>
      <c r="M33" s="6">
        <v>22</v>
      </c>
      <c r="N33" s="6">
        <v>5</v>
      </c>
      <c r="O33" s="6">
        <v>4</v>
      </c>
      <c r="P33" s="6">
        <v>4</v>
      </c>
      <c r="Q33" s="6">
        <v>4</v>
      </c>
      <c r="R33" s="3">
        <f t="shared" ca="1" si="0"/>
        <v>0.91254588926333646</v>
      </c>
    </row>
    <row r="34" spans="1:18" ht="15.75" x14ac:dyDescent="0.25">
      <c r="A34" s="6">
        <v>25</v>
      </c>
      <c r="B34" s="6">
        <v>4</v>
      </c>
      <c r="C34" s="6">
        <v>5</v>
      </c>
      <c r="D34" s="6">
        <v>5</v>
      </c>
      <c r="E34" s="6">
        <v>3</v>
      </c>
      <c r="F34" s="6">
        <v>3</v>
      </c>
      <c r="G34" s="6">
        <v>5</v>
      </c>
      <c r="H34" s="6">
        <v>4</v>
      </c>
      <c r="I34" s="6">
        <v>5</v>
      </c>
      <c r="J34" s="6"/>
      <c r="K34" s="6"/>
      <c r="L34" s="3"/>
      <c r="M34" s="6">
        <v>1</v>
      </c>
      <c r="N34" s="6">
        <v>5</v>
      </c>
      <c r="O34" s="6">
        <v>3</v>
      </c>
      <c r="P34" s="6">
        <v>4</v>
      </c>
      <c r="Q34" s="6">
        <v>5</v>
      </c>
      <c r="R34" s="3">
        <f t="shared" ca="1" si="0"/>
        <v>0.82266816662066888</v>
      </c>
    </row>
    <row r="35" spans="1:18" ht="15.75" x14ac:dyDescent="0.25">
      <c r="A35" s="6">
        <v>26</v>
      </c>
      <c r="B35" s="6">
        <v>5</v>
      </c>
      <c r="C35" s="6">
        <v>5</v>
      </c>
      <c r="D35" s="6">
        <v>5</v>
      </c>
      <c r="E35" s="6">
        <v>4</v>
      </c>
      <c r="F35" s="6">
        <v>5</v>
      </c>
      <c r="G35" s="6">
        <v>3</v>
      </c>
      <c r="H35" s="6">
        <v>4</v>
      </c>
      <c r="I35" s="6"/>
      <c r="J35" s="6"/>
      <c r="K35" s="6"/>
      <c r="L35" s="3"/>
      <c r="M35" s="6">
        <v>17</v>
      </c>
      <c r="N35" s="6">
        <v>4</v>
      </c>
      <c r="O35" s="6">
        <v>4</v>
      </c>
      <c r="P35" s="6">
        <v>3</v>
      </c>
      <c r="Q35" s="6">
        <v>5</v>
      </c>
      <c r="R35" s="3">
        <f t="shared" ca="1" si="0"/>
        <v>0.90356081146448908</v>
      </c>
    </row>
    <row r="36" spans="1:18" ht="15.75" x14ac:dyDescent="0.25">
      <c r="A36" s="6">
        <v>27</v>
      </c>
      <c r="B36" s="6">
        <v>3</v>
      </c>
      <c r="C36" s="6">
        <v>3</v>
      </c>
      <c r="D36" s="6">
        <v>4</v>
      </c>
      <c r="E36" s="6">
        <v>5</v>
      </c>
      <c r="F36" s="6">
        <v>5</v>
      </c>
      <c r="G36" s="6">
        <v>4</v>
      </c>
      <c r="H36" s="6"/>
      <c r="I36" s="6"/>
      <c r="J36" s="6"/>
      <c r="K36" s="6"/>
      <c r="L36" s="3"/>
      <c r="M36" s="6">
        <v>25</v>
      </c>
      <c r="N36" s="6">
        <v>5</v>
      </c>
      <c r="O36" s="6">
        <v>3</v>
      </c>
      <c r="P36" s="6">
        <v>3</v>
      </c>
      <c r="Q36" s="6">
        <v>5</v>
      </c>
      <c r="R36" s="3">
        <f t="shared" ca="1" si="0"/>
        <v>0.1728406238512874</v>
      </c>
    </row>
    <row r="37" spans="1:18" ht="15.75" x14ac:dyDescent="0.25">
      <c r="A37" s="6">
        <v>28</v>
      </c>
      <c r="B37" s="6">
        <v>3</v>
      </c>
      <c r="C37" s="6">
        <v>4</v>
      </c>
      <c r="D37" s="6">
        <v>4</v>
      </c>
      <c r="E37" s="6">
        <v>5</v>
      </c>
      <c r="F37" s="6">
        <v>4</v>
      </c>
      <c r="G37" s="6"/>
      <c r="H37" s="6"/>
      <c r="I37" s="6"/>
      <c r="J37" s="6"/>
      <c r="K37" s="6"/>
      <c r="L37" s="3"/>
      <c r="M37" s="6">
        <v>29</v>
      </c>
      <c r="N37" s="6">
        <v>3</v>
      </c>
      <c r="O37" s="6">
        <v>4</v>
      </c>
      <c r="P37" s="6"/>
      <c r="Q37" s="6"/>
      <c r="R37" s="3">
        <f t="shared" ca="1" si="0"/>
        <v>0.49773421822900266</v>
      </c>
    </row>
    <row r="38" spans="1:18" ht="15.75" x14ac:dyDescent="0.25">
      <c r="A38" s="6">
        <v>29</v>
      </c>
      <c r="B38" s="6">
        <v>4</v>
      </c>
      <c r="C38" s="6">
        <v>4</v>
      </c>
      <c r="D38" s="6">
        <v>3</v>
      </c>
      <c r="E38" s="6">
        <v>4</v>
      </c>
      <c r="F38" s="6"/>
      <c r="G38" s="6"/>
      <c r="H38" s="6"/>
      <c r="I38" s="6"/>
      <c r="J38" s="6"/>
      <c r="K38" s="6"/>
      <c r="L38" s="3"/>
      <c r="M38" s="6">
        <v>9</v>
      </c>
      <c r="N38" s="6">
        <v>5</v>
      </c>
      <c r="O38" s="6">
        <v>5</v>
      </c>
      <c r="P38" s="6">
        <v>5</v>
      </c>
      <c r="Q38" s="6">
        <v>3</v>
      </c>
      <c r="R38" s="3">
        <f t="shared" ca="1" si="0"/>
        <v>0.86766410442760944</v>
      </c>
    </row>
    <row r="39" spans="1:18" ht="15.75" x14ac:dyDescent="0.25">
      <c r="A39" s="6">
        <v>30</v>
      </c>
      <c r="B39" s="6">
        <v>5</v>
      </c>
      <c r="C39" s="6">
        <v>4</v>
      </c>
      <c r="D39" s="6"/>
      <c r="E39" s="6"/>
      <c r="F39" s="6"/>
      <c r="G39" s="6"/>
      <c r="H39" s="6"/>
      <c r="I39" s="6"/>
      <c r="J39" s="6"/>
      <c r="K39" s="6"/>
      <c r="L39" s="3"/>
      <c r="M39" s="6"/>
      <c r="N39" s="6"/>
      <c r="O39" s="6"/>
      <c r="P39" s="6"/>
      <c r="Q39" s="6"/>
      <c r="R39" s="3"/>
    </row>
    <row r="40" spans="1:18" ht="15.7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15.7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30" x14ac:dyDescent="0.25">
      <c r="A42" s="19" t="s">
        <v>19</v>
      </c>
      <c r="B42" s="22">
        <v>3</v>
      </c>
      <c r="C42" s="21"/>
      <c r="E42" s="3"/>
      <c r="G42" s="3"/>
      <c r="I42" s="3"/>
      <c r="K42" s="3"/>
      <c r="L42" s="3"/>
      <c r="M42" s="3"/>
      <c r="N42" s="3"/>
      <c r="O42" s="3"/>
      <c r="P42" s="3"/>
      <c r="Q42" s="3"/>
      <c r="R42" s="3"/>
    </row>
    <row r="43" spans="1:18" ht="15.75" x14ac:dyDescent="0.25">
      <c r="A43" s="19" t="s">
        <v>20</v>
      </c>
      <c r="B43" s="22">
        <f>COUNTIF(Z11:Z26,"Атт.")</f>
        <v>12</v>
      </c>
      <c r="C43" s="21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30" x14ac:dyDescent="0.25">
      <c r="A44" s="1" t="s">
        <v>23</v>
      </c>
      <c r="B44" s="22">
        <f>COUNTIF(Z11:Z26,"Не атт.")</f>
        <v>4</v>
      </c>
      <c r="C44" s="21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15.75" x14ac:dyDescent="0.25">
      <c r="A45" s="20" t="s">
        <v>22</v>
      </c>
      <c r="B45" s="22">
        <f>B43/(B43+B44)</f>
        <v>0.75</v>
      </c>
      <c r="C45" s="21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31.5" x14ac:dyDescent="0.25">
      <c r="A46" s="4" t="s">
        <v>21</v>
      </c>
      <c r="B46" s="20" t="str">
        <f>IF(--$B$44&gt;--$B$42,"Группа НЕ аттестована","Группа аттестована")</f>
        <v>Группа НЕ аттестована</v>
      </c>
      <c r="C46" s="21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15.7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</sheetData>
  <sortState xmlns:xlrd2="http://schemas.microsoft.com/office/spreadsheetml/2017/richdata2" ref="M10:R38">
    <sortCondition descending="1" ref="R10:R38"/>
  </sortState>
  <mergeCells count="17">
    <mergeCell ref="A1:F1"/>
    <mergeCell ref="A2:A3"/>
    <mergeCell ref="B2:E2"/>
    <mergeCell ref="F2:F3"/>
    <mergeCell ref="A7:K7"/>
    <mergeCell ref="S27:W30"/>
    <mergeCell ref="S7:Z7"/>
    <mergeCell ref="A8:A9"/>
    <mergeCell ref="B8:K8"/>
    <mergeCell ref="M8:M9"/>
    <mergeCell ref="N8:Q8"/>
    <mergeCell ref="S8:S10"/>
    <mergeCell ref="T8:T10"/>
    <mergeCell ref="U8:X8"/>
    <mergeCell ref="M7:Q7"/>
    <mergeCell ref="Z8:Z10"/>
    <mergeCell ref="Y8:Y10"/>
  </mergeCells>
  <conditionalFormatting sqref="B46">
    <cfRule type="expression" dxfId="3" priority="1">
      <formula>$B$44&gt;$B$42</formula>
    </cfRule>
    <cfRule type="expression" dxfId="2" priority="2">
      <formula>$B$42&gt;=$B$44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Виталий Демьянцев</dc:creator>
  <cp:lastModifiedBy>Виталий Демьянцев</cp:lastModifiedBy>
  <dcterms:created xsi:type="dcterms:W3CDTF">2015-06-05T18:19:34Z</dcterms:created>
  <dcterms:modified xsi:type="dcterms:W3CDTF">2026-03-13T11:31:50Z</dcterms:modified>
</cp:coreProperties>
</file>