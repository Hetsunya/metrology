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tal\OneDrive\Рабочий стол\metrology\"/>
    </mc:Choice>
  </mc:AlternateContent>
  <xr:revisionPtr revIDLastSave="0" documentId="13_ncr:1_{F7854F18-C302-4B67-8C5C-5669A196DC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B29" i="1"/>
  <c r="B28" i="1"/>
  <c r="B30" i="1"/>
  <c r="C30" i="1"/>
  <c r="C34" i="1"/>
  <c r="C35" i="1"/>
  <c r="B35" i="1"/>
  <c r="B34" i="1"/>
  <c r="B19" i="1"/>
  <c r="C19" i="1"/>
  <c r="C20" i="1"/>
  <c r="C21" i="1"/>
  <c r="C22" i="1"/>
  <c r="C23" i="1"/>
  <c r="C24" i="1"/>
  <c r="C25" i="1"/>
  <c r="C26" i="1"/>
  <c r="C27" i="1"/>
  <c r="C28" i="1"/>
  <c r="B20" i="1"/>
  <c r="B21" i="1"/>
  <c r="B22" i="1"/>
  <c r="B23" i="1"/>
  <c r="B24" i="1"/>
  <c r="B25" i="1"/>
  <c r="B26" i="1"/>
  <c r="B27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C36" i="1" l="1"/>
  <c r="B36" i="1"/>
</calcChain>
</file>

<file path=xl/sharedStrings.xml><?xml version="1.0" encoding="utf-8"?>
<sst xmlns="http://schemas.openxmlformats.org/spreadsheetml/2006/main" count="149" uniqueCount="72">
  <si>
    <t>Характеристика качества</t>
  </si>
  <si>
    <t>Содержание требований</t>
  </si>
  <si>
    <t>Единица измерения</t>
  </si>
  <si>
    <t>Kate</t>
  </si>
  <si>
    <t>Notepad++</t>
  </si>
  <si>
    <t>Характеристика качества (по ГОСТ Р ИСО/МЭК 25010)</t>
  </si>
  <si>
    <t>Критерий оценки</t>
  </si>
  <si>
    <t>Категория качества</t>
  </si>
  <si>
    <t>Надёжность</t>
  </si>
  <si>
    <t/>
  </si>
  <si>
    <t>Функциональная пригодность</t>
  </si>
  <si>
    <t>Наработка на отказ</t>
  </si>
  <si>
    <t>Стабильность работы без критических сбоев</t>
  </si>
  <si>
    <t>ч</t>
  </si>
  <si>
    <t>Полнота функций</t>
  </si>
  <si>
    <t>Наличие плагинов, LSP, встроенного терминала, интеграции с системами контроля версий</t>
  </si>
  <si>
    <t>Удобство использования</t>
  </si>
  <si>
    <t>Время восстановления</t>
  </si>
  <si>
    <t>Длительность перезапуска после сбоя</t>
  </si>
  <si>
    <t>с</t>
  </si>
  <si>
    <t>Корректность</t>
  </si>
  <si>
    <t>Точность подсветки синтаксиса, автодополнения, проверки кода</t>
  </si>
  <si>
    <t>Совместимость</t>
  </si>
  <si>
    <t>Устойчивость к ошибкам ввода</t>
  </si>
  <si>
    <t>Корректная обработка файлов с нарушением кодировки</t>
  </si>
  <si>
    <t>%</t>
  </si>
  <si>
    <t>Производительность</t>
  </si>
  <si>
    <t>Интуитивность интерфейса</t>
  </si>
  <si>
    <t>Простота освоения для нового пользователя</t>
  </si>
  <si>
    <t>Время отклика</t>
  </si>
  <si>
    <t>Открытие файла объёмом 10 МБ</t>
  </si>
  <si>
    <t>Настраиваемость</t>
  </si>
  <si>
    <t>Гибкость настройки тем, горячих клавиш, панелей инструментов</t>
  </si>
  <si>
    <t>Безопасность</t>
  </si>
  <si>
    <t>Пропускная способность</t>
  </si>
  <si>
    <t>Поиск по директории из 1000 файлов</t>
  </si>
  <si>
    <t>файлов/мин</t>
  </si>
  <si>
    <t>Доступность</t>
  </si>
  <si>
    <t>Локализация интерфейса, поддержка средств экр. доступа</t>
  </si>
  <si>
    <t>Сопровождаемость</t>
  </si>
  <si>
    <t>Потребление оперативной памяти</t>
  </si>
  <si>
    <t>Работа с файлом объёмом 50 МБ</t>
  </si>
  <si>
    <t>МБ</t>
  </si>
  <si>
    <t>Переносимость</t>
  </si>
  <si>
    <t>Размер дистрибутива</t>
  </si>
  <si>
    <t>Объём установочного пакета</t>
  </si>
  <si>
    <t>Кроссплатформенность</t>
  </si>
  <si>
    <t>Возможность работы на различных операционных системах</t>
  </si>
  <si>
    <t>Интеграционная способность</t>
  </si>
  <si>
    <t>Поддержка протоколов (SSH, FTP, Git), API для расширения</t>
  </si>
  <si>
    <t>Количество поддерживаемых ОС</t>
  </si>
  <si>
    <t>шт.</t>
  </si>
  <si>
    <t>Поддержка кодировок</t>
  </si>
  <si>
    <t>UTF-8, UTF-16, ASCII и др.</t>
  </si>
  <si>
    <t>Отказоустойчивость</t>
  </si>
  <si>
    <t>Восстановление состояния после аварийного завершения</t>
  </si>
  <si>
    <t>Поддержка языков подсветки синтаксиса</t>
  </si>
  <si>
    <t>Количество форматов</t>
  </si>
  <si>
    <t>Сохранность данных</t>
  </si>
  <si>
    <t>Наличие автосохранения, механизмов резервного копирования</t>
  </si>
  <si>
    <t>Время реакции</t>
  </si>
  <si>
    <t>Отклик интерфейса при работе с большими файлами</t>
  </si>
  <si>
    <t>Ресурсная эффективность</t>
  </si>
  <si>
    <t>Потребление оперативной памяти и процессорного времени</t>
  </si>
  <si>
    <t>Защита данных</t>
  </si>
  <si>
    <t>Поддержка шифрования, работа с файлами ограниченного доступа</t>
  </si>
  <si>
    <t>Модульность</t>
  </si>
  <si>
    <t>Возможность расширения функционала через плагины</t>
  </si>
  <si>
    <t>Анализируемость</t>
  </si>
  <si>
    <t>Качество документации, доступность логов и отладочной информации</t>
  </si>
  <si>
    <t>Адаптируемость</t>
  </si>
  <si>
    <t>Простота настройки под различные сценарии использования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</si>
</sst>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Лист1!$O$1</c:f>
              <c:strCache>
                <c:ptCount val="1"/>
                <c:pt idx="0">
                  <c:v>Kate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Лист1!$N$2:$N$9</c:f>
              <c:strCache>
                <c:ptCount val="8"/>
                <c:pt idx="0">
                  <c:v>Функциональная пригодность</c:v>
                </c:pt>
                <c:pt idx="1">
                  <c:v>Удобство использования</c:v>
                </c:pt>
                <c:pt idx="2">
                  <c:v>Совместимость</c:v>
                </c:pt>
                <c:pt idx="3">
                  <c:v>Надёжность</c:v>
                </c:pt>
                <c:pt idx="4">
                  <c:v>Производительность</c:v>
                </c:pt>
                <c:pt idx="5">
                  <c:v>Безопасность</c:v>
                </c:pt>
                <c:pt idx="6">
                  <c:v>Сопровождаемость</c:v>
                </c:pt>
                <c:pt idx="7">
                  <c:v>Переносимость</c:v>
                </c:pt>
              </c:strCache>
            </c:strRef>
          </c:cat>
          <c:val>
            <c:numRef>
              <c:f>Лист1!$O$2:$O$9</c:f>
              <c:numCache>
                <c:formatCode>General</c:formatCode>
                <c:ptCount val="8"/>
                <c:pt idx="0">
                  <c:v>5</c:v>
                </c:pt>
                <c:pt idx="1">
                  <c:v>4.333333333333333</c:v>
                </c:pt>
                <c:pt idx="2">
                  <c:v>5</c:v>
                </c:pt>
                <c:pt idx="3">
                  <c:v>4</c:v>
                </c:pt>
                <c:pt idx="4">
                  <c:v>3.5</c:v>
                </c:pt>
                <c:pt idx="5">
                  <c:v>4</c:v>
                </c:pt>
                <c:pt idx="6">
                  <c:v>4.5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0-4E02-8EE8-3C959B216350}"/>
            </c:ext>
          </c:extLst>
        </c:ser>
        <c:ser>
          <c:idx val="1"/>
          <c:order val="1"/>
          <c:tx>
            <c:strRef>
              <c:f>Лист1!$P$1</c:f>
              <c:strCache>
                <c:ptCount val="1"/>
                <c:pt idx="0">
                  <c:v>Notepad++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Лист1!$N$2:$N$9</c:f>
              <c:strCache>
                <c:ptCount val="8"/>
                <c:pt idx="0">
                  <c:v>Функциональная пригодность</c:v>
                </c:pt>
                <c:pt idx="1">
                  <c:v>Удобство использования</c:v>
                </c:pt>
                <c:pt idx="2">
                  <c:v>Совместимость</c:v>
                </c:pt>
                <c:pt idx="3">
                  <c:v>Надёжность</c:v>
                </c:pt>
                <c:pt idx="4">
                  <c:v>Производительность</c:v>
                </c:pt>
                <c:pt idx="5">
                  <c:v>Безопасность</c:v>
                </c:pt>
                <c:pt idx="6">
                  <c:v>Сопровождаемость</c:v>
                </c:pt>
                <c:pt idx="7">
                  <c:v>Переносимость</c:v>
                </c:pt>
              </c:strCache>
            </c:strRef>
          </c:cat>
          <c:val>
            <c:numRef>
              <c:f>Лист1!$P$2:$P$9</c:f>
              <c:numCache>
                <c:formatCode>General</c:formatCode>
                <c:ptCount val="8"/>
                <c:pt idx="0">
                  <c:v>4.5</c:v>
                </c:pt>
                <c:pt idx="1">
                  <c:v>4</c:v>
                </c:pt>
                <c:pt idx="2">
                  <c:v>2.5</c:v>
                </c:pt>
                <c:pt idx="3">
                  <c:v>4.5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60-4E02-8EE8-3C959B2163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093680"/>
        <c:axId val="1664092240"/>
      </c:barChart>
      <c:catAx>
        <c:axId val="166409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4092240"/>
        <c:crosses val="autoZero"/>
        <c:auto val="1"/>
        <c:lblAlgn val="ctr"/>
        <c:lblOffset val="100"/>
        <c:noMultiLvlLbl val="0"/>
      </c:catAx>
      <c:valAx>
        <c:axId val="166409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409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Лист1!$O$1</c:f>
              <c:strCache>
                <c:ptCount val="1"/>
                <c:pt idx="0">
                  <c:v>Kate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Лист1!$N$2:$N$9</c:f>
              <c:strCache>
                <c:ptCount val="8"/>
                <c:pt idx="0">
                  <c:v>Функциональная пригодность</c:v>
                </c:pt>
                <c:pt idx="1">
                  <c:v>Удобство использования</c:v>
                </c:pt>
                <c:pt idx="2">
                  <c:v>Совместимость</c:v>
                </c:pt>
                <c:pt idx="3">
                  <c:v>Надёжность</c:v>
                </c:pt>
                <c:pt idx="4">
                  <c:v>Производительность</c:v>
                </c:pt>
                <c:pt idx="5">
                  <c:v>Безопасность</c:v>
                </c:pt>
                <c:pt idx="6">
                  <c:v>Сопровождаемость</c:v>
                </c:pt>
                <c:pt idx="7">
                  <c:v>Переносимость</c:v>
                </c:pt>
              </c:strCache>
            </c:strRef>
          </c:xVal>
          <c:yVal>
            <c:numRef>
              <c:f>Лист1!$O$2:$O$9</c:f>
              <c:numCache>
                <c:formatCode>General</c:formatCode>
                <c:ptCount val="8"/>
                <c:pt idx="0">
                  <c:v>5</c:v>
                </c:pt>
                <c:pt idx="1">
                  <c:v>4.333333333333333</c:v>
                </c:pt>
                <c:pt idx="2">
                  <c:v>5</c:v>
                </c:pt>
                <c:pt idx="3">
                  <c:v>4</c:v>
                </c:pt>
                <c:pt idx="4">
                  <c:v>3.5</c:v>
                </c:pt>
                <c:pt idx="5">
                  <c:v>4</c:v>
                </c:pt>
                <c:pt idx="6">
                  <c:v>4.5</c:v>
                </c:pt>
                <c:pt idx="7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CE-4E1C-9997-09E9987EFBAE}"/>
            </c:ext>
          </c:extLst>
        </c:ser>
        <c:ser>
          <c:idx val="1"/>
          <c:order val="1"/>
          <c:tx>
            <c:strRef>
              <c:f>Лист1!$P$1</c:f>
              <c:strCache>
                <c:ptCount val="1"/>
                <c:pt idx="0">
                  <c:v>Notepad++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Лист1!$N$2:$N$9</c:f>
              <c:strCache>
                <c:ptCount val="8"/>
                <c:pt idx="0">
                  <c:v>Функциональная пригодность</c:v>
                </c:pt>
                <c:pt idx="1">
                  <c:v>Удобство использования</c:v>
                </c:pt>
                <c:pt idx="2">
                  <c:v>Совместимость</c:v>
                </c:pt>
                <c:pt idx="3">
                  <c:v>Надёжность</c:v>
                </c:pt>
                <c:pt idx="4">
                  <c:v>Производительность</c:v>
                </c:pt>
                <c:pt idx="5">
                  <c:v>Безопасность</c:v>
                </c:pt>
                <c:pt idx="6">
                  <c:v>Сопровождаемость</c:v>
                </c:pt>
                <c:pt idx="7">
                  <c:v>Переносимость</c:v>
                </c:pt>
              </c:strCache>
            </c:strRef>
          </c:xVal>
          <c:yVal>
            <c:numRef>
              <c:f>Лист1!$P$2:$P$9</c:f>
              <c:numCache>
                <c:formatCode>General</c:formatCode>
                <c:ptCount val="8"/>
                <c:pt idx="0">
                  <c:v>4.5</c:v>
                </c:pt>
                <c:pt idx="1">
                  <c:v>4</c:v>
                </c:pt>
                <c:pt idx="2">
                  <c:v>2.5</c:v>
                </c:pt>
                <c:pt idx="3">
                  <c:v>4.5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CE-4E1C-9997-09E9987EF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242207"/>
        <c:axId val="1180233567"/>
      </c:scatterChart>
      <c:valAx>
        <c:axId val="1180242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0233567"/>
        <c:crosses val="autoZero"/>
        <c:crossBetween val="midCat"/>
      </c:valAx>
      <c:valAx>
        <c:axId val="118023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0242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Лист1!$B$33</c:f>
              <c:strCache>
                <c:ptCount val="1"/>
                <c:pt idx="0">
                  <c:v>Kate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Лист1!$A$34:$A$36</c:f>
              <c:strCache>
                <c:ptCount val="3"/>
                <c:pt idx="0">
                  <c:v>Надёжность</c:v>
                </c:pt>
                <c:pt idx="1">
                  <c:v>Производительность</c:v>
                </c:pt>
                <c:pt idx="2">
                  <c:v>Совместимость</c:v>
                </c:pt>
              </c:strCache>
            </c:strRef>
          </c:cat>
          <c:val>
            <c:numRef>
              <c:f>Лист1!$B$34:$B$36</c:f>
              <c:numCache>
                <c:formatCode>General</c:formatCode>
                <c:ptCount val="3"/>
                <c:pt idx="0">
                  <c:v>3.3333333333333335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82-4675-87A2-1B1773AA04DE}"/>
            </c:ext>
          </c:extLst>
        </c:ser>
        <c:ser>
          <c:idx val="1"/>
          <c:order val="1"/>
          <c:tx>
            <c:strRef>
              <c:f>Лист1!$C$33</c:f>
              <c:strCache>
                <c:ptCount val="1"/>
                <c:pt idx="0">
                  <c:v>Notepad++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Лист1!$A$34:$A$36</c:f>
              <c:strCache>
                <c:ptCount val="3"/>
                <c:pt idx="0">
                  <c:v>Надёжность</c:v>
                </c:pt>
                <c:pt idx="1">
                  <c:v>Производительность</c:v>
                </c:pt>
                <c:pt idx="2">
                  <c:v>Совместимость</c:v>
                </c:pt>
              </c:strCache>
            </c:strRef>
          </c:cat>
          <c:val>
            <c:numRef>
              <c:f>Лист1!$C$34:$C$36</c:f>
              <c:numCache>
                <c:formatCode>General</c:formatCode>
                <c:ptCount val="3"/>
                <c:pt idx="0">
                  <c:v>1.6666666666666667</c:v>
                </c:pt>
                <c:pt idx="1">
                  <c:v>5</c:v>
                </c:pt>
                <c:pt idx="2">
                  <c:v>1.6666666666666667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82-4675-87A2-1B1773AA0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1074319"/>
        <c:axId val="1241075279"/>
      </c:barChart>
      <c:catAx>
        <c:axId val="12410743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1075279"/>
        <c:crosses val="autoZero"/>
        <c:auto val="1"/>
        <c:lblAlgn val="ctr"/>
        <c:lblOffset val="100"/>
        <c:noMultiLvlLbl val="0"/>
      </c:catAx>
      <c:valAx>
        <c:axId val="1241075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1074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561974</xdr:colOff>
      <xdr:row>9</xdr:row>
      <xdr:rowOff>152400</xdr:rowOff>
    </xdr:from>
    <xdr:to>
      <xdr:col>18</xdr:col>
      <xdr:colOff>28575</xdr:colOff>
      <xdr:row>23</xdr:row>
      <xdr:rowOff>123825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B98645C-EC97-31F3-1C25-0B0F2C370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465045</xdr:colOff>
      <xdr:row>23</xdr:row>
      <xdr:rowOff>90766</xdr:rowOff>
    </xdr:from>
    <xdr:to>
      <xdr:col>17</xdr:col>
      <xdr:colOff>409015</xdr:colOff>
      <xdr:row>37</xdr:row>
      <xdr:rowOff>166966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B7B8D86-1B9A-8B5C-F567-850FB1AF5A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33618</xdr:colOff>
      <xdr:row>24</xdr:row>
      <xdr:rowOff>124384</xdr:rowOff>
    </xdr:from>
    <xdr:to>
      <xdr:col>7</xdr:col>
      <xdr:colOff>2185148</xdr:colOff>
      <xdr:row>39</xdr:row>
      <xdr:rowOff>10084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93D59469-E99F-54B5-6B32-448E0D56F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6"/>
  <sheetViews>
    <sheetView tabSelected="1" topLeftCell="B1" zoomScale="85" zoomScaleNormal="85" workbookViewId="0">
      <selection activeCell="M30" sqref="M30"/>
    </sheetView>
  </sheetViews>
  <sheetFormatPr defaultRowHeight="15" x14ac:dyDescent="0.25"/>
  <cols>
    <col min="1" max="1" width="43" customWidth="1"/>
    <col min="2" max="2" width="55" customWidth="1"/>
    <col min="3" max="3" width="29.7109375" customWidth="1"/>
    <col min="8" max="8" width="52.7109375" customWidth="1"/>
    <col min="9" max="9" width="84.5703125" customWidth="1"/>
    <col min="14" max="14" width="33.14062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5</v>
      </c>
      <c r="I1" s="1" t="s">
        <v>6</v>
      </c>
      <c r="J1" s="1" t="s">
        <v>3</v>
      </c>
      <c r="K1" s="1" t="s">
        <v>4</v>
      </c>
      <c r="N1" s="1" t="s">
        <v>7</v>
      </c>
      <c r="O1" s="1" t="s">
        <v>3</v>
      </c>
      <c r="P1" s="1" t="s">
        <v>4</v>
      </c>
    </row>
    <row r="2" spans="1:16" x14ac:dyDescent="0.25">
      <c r="A2" s="2" t="s">
        <v>8</v>
      </c>
      <c r="B2" s="1" t="s">
        <v>9</v>
      </c>
      <c r="C2" s="1" t="s">
        <v>9</v>
      </c>
      <c r="D2" s="1" t="s">
        <v>9</v>
      </c>
      <c r="E2" s="1" t="s">
        <v>9</v>
      </c>
      <c r="H2" s="2" t="s">
        <v>10</v>
      </c>
      <c r="I2" s="1" t="s">
        <v>9</v>
      </c>
      <c r="J2" s="1" t="s">
        <v>9</v>
      </c>
      <c r="K2" s="1" t="s">
        <v>9</v>
      </c>
      <c r="N2" s="1" t="s">
        <v>10</v>
      </c>
      <c r="O2" s="1">
        <f>AVERAGE(J3:J4)</f>
        <v>5</v>
      </c>
      <c r="P2" s="1">
        <f>AVERAGE(K3:K4)</f>
        <v>4.5</v>
      </c>
    </row>
    <row r="3" spans="1:16" x14ac:dyDescent="0.25">
      <c r="A3" s="1" t="s">
        <v>11</v>
      </c>
      <c r="B3" s="1" t="s">
        <v>12</v>
      </c>
      <c r="C3" s="1" t="s">
        <v>13</v>
      </c>
      <c r="D3" s="4">
        <v>500</v>
      </c>
      <c r="E3" s="4">
        <v>400</v>
      </c>
      <c r="H3" s="1" t="s">
        <v>14</v>
      </c>
      <c r="I3" s="1" t="s">
        <v>15</v>
      </c>
      <c r="J3" s="4">
        <v>5</v>
      </c>
      <c r="K3" s="4">
        <v>4</v>
      </c>
      <c r="N3" s="1" t="s">
        <v>16</v>
      </c>
      <c r="O3" s="1">
        <f>AVERAGE(J6:J8)</f>
        <v>4.333333333333333</v>
      </c>
      <c r="P3" s="1">
        <f>AVERAGE(K6:K8)</f>
        <v>4</v>
      </c>
    </row>
    <row r="4" spans="1:16" x14ac:dyDescent="0.25">
      <c r="A4" s="1" t="s">
        <v>17</v>
      </c>
      <c r="B4" s="1" t="s">
        <v>18</v>
      </c>
      <c r="C4" s="1" t="s">
        <v>19</v>
      </c>
      <c r="D4" s="4">
        <v>3</v>
      </c>
      <c r="E4" s="4">
        <v>2</v>
      </c>
      <c r="H4" s="1" t="s">
        <v>20</v>
      </c>
      <c r="I4" s="1" t="s">
        <v>21</v>
      </c>
      <c r="J4" s="4">
        <v>5</v>
      </c>
      <c r="K4" s="4">
        <v>5</v>
      </c>
      <c r="N4" s="1" t="s">
        <v>22</v>
      </c>
      <c r="O4" s="1">
        <f>AVERAGE(J10:J11)</f>
        <v>5</v>
      </c>
      <c r="P4" s="1">
        <f>AVERAGE(K10:K11)</f>
        <v>2.5</v>
      </c>
    </row>
    <row r="5" spans="1:16" x14ac:dyDescent="0.25">
      <c r="A5" s="1" t="s">
        <v>23</v>
      </c>
      <c r="B5" s="1" t="s">
        <v>24</v>
      </c>
      <c r="C5" s="1" t="s">
        <v>25</v>
      </c>
      <c r="D5" s="4">
        <v>98</v>
      </c>
      <c r="E5" s="4">
        <v>95</v>
      </c>
      <c r="H5" s="2" t="s">
        <v>16</v>
      </c>
      <c r="I5" s="1" t="s">
        <v>9</v>
      </c>
      <c r="J5" s="3" t="s">
        <v>9</v>
      </c>
      <c r="K5" s="3" t="s">
        <v>9</v>
      </c>
      <c r="N5" s="1" t="s">
        <v>8</v>
      </c>
      <c r="O5" s="1">
        <f>AVERAGE(J13:J14)</f>
        <v>4</v>
      </c>
      <c r="P5" s="1">
        <f>AVERAGE(K13:K14)</f>
        <v>4.5</v>
      </c>
    </row>
    <row r="6" spans="1:16" x14ac:dyDescent="0.25">
      <c r="A6" s="2" t="s">
        <v>26</v>
      </c>
      <c r="B6" s="1" t="s">
        <v>9</v>
      </c>
      <c r="C6" s="1" t="s">
        <v>9</v>
      </c>
      <c r="D6" s="1" t="s">
        <v>9</v>
      </c>
      <c r="E6" s="1" t="s">
        <v>9</v>
      </c>
      <c r="H6" s="1" t="s">
        <v>27</v>
      </c>
      <c r="I6" s="1" t="s">
        <v>28</v>
      </c>
      <c r="J6" s="4">
        <v>4</v>
      </c>
      <c r="K6" s="4">
        <v>5</v>
      </c>
      <c r="N6" s="1" t="s">
        <v>26</v>
      </c>
      <c r="O6" s="1">
        <f>AVERAGE(J16:J17)</f>
        <v>3.5</v>
      </c>
      <c r="P6" s="1">
        <f>AVERAGE(K16:K17)</f>
        <v>5</v>
      </c>
    </row>
    <row r="7" spans="1:16" x14ac:dyDescent="0.25">
      <c r="A7" s="1" t="s">
        <v>29</v>
      </c>
      <c r="B7" s="1" t="s">
        <v>30</v>
      </c>
      <c r="C7" s="1" t="s">
        <v>19</v>
      </c>
      <c r="D7" s="4">
        <v>1.2</v>
      </c>
      <c r="E7" s="4">
        <v>0.8</v>
      </c>
      <c r="H7" s="1" t="s">
        <v>31</v>
      </c>
      <c r="I7" s="1" t="s">
        <v>32</v>
      </c>
      <c r="J7" s="4">
        <v>5</v>
      </c>
      <c r="K7" s="4">
        <v>4</v>
      </c>
      <c r="N7" s="1" t="s">
        <v>33</v>
      </c>
      <c r="O7" s="1">
        <f>AVERAGE(J19)</f>
        <v>4</v>
      </c>
      <c r="P7" s="1">
        <f>AVERAGE(K19)</f>
        <v>3</v>
      </c>
    </row>
    <row r="8" spans="1:16" x14ac:dyDescent="0.25">
      <c r="A8" s="1" t="s">
        <v>34</v>
      </c>
      <c r="B8" s="1" t="s">
        <v>35</v>
      </c>
      <c r="C8" s="1" t="s">
        <v>36</v>
      </c>
      <c r="D8" s="4">
        <v>150</v>
      </c>
      <c r="E8" s="4">
        <v>200</v>
      </c>
      <c r="H8" s="1" t="s">
        <v>37</v>
      </c>
      <c r="I8" s="1" t="s">
        <v>38</v>
      </c>
      <c r="J8" s="4">
        <v>4</v>
      </c>
      <c r="K8" s="4">
        <v>3</v>
      </c>
      <c r="N8" s="1" t="s">
        <v>39</v>
      </c>
      <c r="O8" s="1">
        <f>AVERAGE(J21:J22)</f>
        <v>4.5</v>
      </c>
      <c r="P8" s="1">
        <f>AVERAGE(K21:K22)</f>
        <v>4</v>
      </c>
    </row>
    <row r="9" spans="1:16" x14ac:dyDescent="0.25">
      <c r="A9" s="1" t="s">
        <v>40</v>
      </c>
      <c r="B9" s="1" t="s">
        <v>41</v>
      </c>
      <c r="C9" s="1" t="s">
        <v>42</v>
      </c>
      <c r="D9" s="4">
        <v>120</v>
      </c>
      <c r="E9" s="4">
        <v>85</v>
      </c>
      <c r="H9" s="2" t="s">
        <v>22</v>
      </c>
      <c r="I9" s="1" t="s">
        <v>9</v>
      </c>
      <c r="J9" s="3" t="s">
        <v>9</v>
      </c>
      <c r="K9" s="3" t="s">
        <v>9</v>
      </c>
      <c r="N9" s="1" t="s">
        <v>43</v>
      </c>
      <c r="O9" s="1">
        <f>AVERAGE(J24)</f>
        <v>5</v>
      </c>
      <c r="P9" s="1">
        <f>AVERAGE(K24)</f>
        <v>4</v>
      </c>
    </row>
    <row r="10" spans="1:16" x14ac:dyDescent="0.25">
      <c r="A10" s="1" t="s">
        <v>44</v>
      </c>
      <c r="B10" s="1" t="s">
        <v>45</v>
      </c>
      <c r="C10" s="1" t="s">
        <v>42</v>
      </c>
      <c r="D10" s="4">
        <v>45</v>
      </c>
      <c r="E10" s="4">
        <v>4</v>
      </c>
      <c r="H10" s="1" t="s">
        <v>46</v>
      </c>
      <c r="I10" s="1" t="s">
        <v>47</v>
      </c>
      <c r="J10" s="4">
        <v>5</v>
      </c>
      <c r="K10" s="4">
        <v>2</v>
      </c>
    </row>
    <row r="11" spans="1:16" x14ac:dyDescent="0.25">
      <c r="A11" s="2" t="s">
        <v>22</v>
      </c>
      <c r="B11" s="1" t="s">
        <v>9</v>
      </c>
      <c r="C11" s="1" t="s">
        <v>9</v>
      </c>
      <c r="D11" s="1" t="s">
        <v>9</v>
      </c>
      <c r="E11" s="1" t="s">
        <v>9</v>
      </c>
      <c r="H11" s="1" t="s">
        <v>48</v>
      </c>
      <c r="I11" s="1" t="s">
        <v>49</v>
      </c>
      <c r="J11" s="4">
        <v>5</v>
      </c>
      <c r="K11" s="4">
        <v>3</v>
      </c>
    </row>
    <row r="12" spans="1:16" x14ac:dyDescent="0.25">
      <c r="A12" s="1" t="s">
        <v>50</v>
      </c>
      <c r="B12" s="1" t="s">
        <v>46</v>
      </c>
      <c r="C12" s="1" t="s">
        <v>51</v>
      </c>
      <c r="D12" s="4">
        <v>3</v>
      </c>
      <c r="E12" s="4">
        <v>1</v>
      </c>
      <c r="H12" s="2" t="s">
        <v>8</v>
      </c>
      <c r="I12" s="1" t="s">
        <v>9</v>
      </c>
      <c r="J12" s="3" t="s">
        <v>9</v>
      </c>
      <c r="K12" s="3" t="s">
        <v>9</v>
      </c>
    </row>
    <row r="13" spans="1:16" x14ac:dyDescent="0.25">
      <c r="A13" s="1" t="s">
        <v>52</v>
      </c>
      <c r="B13" s="1" t="s">
        <v>53</v>
      </c>
      <c r="C13" s="1" t="s">
        <v>51</v>
      </c>
      <c r="D13" s="1">
        <v>4</v>
      </c>
      <c r="E13" s="1">
        <v>4</v>
      </c>
      <c r="H13" s="1" t="s">
        <v>54</v>
      </c>
      <c r="I13" s="1" t="s">
        <v>55</v>
      </c>
      <c r="J13" s="4">
        <v>4</v>
      </c>
      <c r="K13" s="4">
        <v>5</v>
      </c>
    </row>
    <row r="14" spans="1:16" x14ac:dyDescent="0.25">
      <c r="A14" s="1" t="s">
        <v>56</v>
      </c>
      <c r="B14" s="1" t="s">
        <v>57</v>
      </c>
      <c r="C14" s="1" t="s">
        <v>51</v>
      </c>
      <c r="D14" s="1">
        <v>300</v>
      </c>
      <c r="E14" s="1">
        <v>80</v>
      </c>
      <c r="H14" s="1" t="s">
        <v>58</v>
      </c>
      <c r="I14" s="1" t="s">
        <v>59</v>
      </c>
      <c r="J14" s="4">
        <v>4</v>
      </c>
      <c r="K14" s="4">
        <v>4</v>
      </c>
    </row>
    <row r="15" spans="1:16" x14ac:dyDescent="0.25">
      <c r="H15" s="2" t="s">
        <v>26</v>
      </c>
      <c r="I15" s="1" t="s">
        <v>9</v>
      </c>
      <c r="J15" s="3" t="s">
        <v>9</v>
      </c>
      <c r="K15" s="3" t="s">
        <v>9</v>
      </c>
    </row>
    <row r="16" spans="1:16" x14ac:dyDescent="0.25">
      <c r="H16" s="1" t="s">
        <v>60</v>
      </c>
      <c r="I16" s="1" t="s">
        <v>61</v>
      </c>
      <c r="J16" s="4">
        <v>4</v>
      </c>
      <c r="K16" s="4">
        <v>5</v>
      </c>
    </row>
    <row r="17" spans="1:11" x14ac:dyDescent="0.25">
      <c r="A17" s="1" t="s">
        <v>1</v>
      </c>
      <c r="B17" s="1" t="s">
        <v>3</v>
      </c>
      <c r="C17" s="1" t="s">
        <v>4</v>
      </c>
      <c r="H17" s="1" t="s">
        <v>62</v>
      </c>
      <c r="I17" s="1" t="s">
        <v>63</v>
      </c>
      <c r="J17" s="4">
        <v>3</v>
      </c>
      <c r="K17" s="4">
        <v>5</v>
      </c>
    </row>
    <row r="18" spans="1:11" x14ac:dyDescent="0.25">
      <c r="A18" s="1" t="s">
        <v>9</v>
      </c>
      <c r="H18" s="2" t="s">
        <v>33</v>
      </c>
      <c r="I18" s="1" t="s">
        <v>9</v>
      </c>
      <c r="J18" s="3" t="s">
        <v>9</v>
      </c>
      <c r="K18" s="3" t="s">
        <v>9</v>
      </c>
    </row>
    <row r="19" spans="1:11" x14ac:dyDescent="0.25">
      <c r="A19" s="1" t="s">
        <v>12</v>
      </c>
      <c r="B19" s="1">
        <f t="shared" ref="B19:B30" si="0">IF(OR(D3="",E3=""),"",IF(MAX($D3:$E3)=MIN($D3:$E3),5,
IF(OR(C3="с",C3="МБ"),
(MAX($D3:$E3)-D3)/(MAX($D3:$E3)-MIN($D3:$E3))*5,
(D3-MIN($D3:$E3))/(MAX($D3:$E3)-MIN($D3:$E3))*5)))</f>
        <v>5</v>
      </c>
      <c r="C19" s="1">
        <f t="shared" ref="C19:C30" si="1">IF(OR(D3="",E3=""),"",IF(MAX($D3:$E3)=MIN($D3:$E3),5,
IF(OR(C3="с",C3="МБ"),
(MAX($D3:$E3)-E3)/(MAX($D3:$E3)-MIN($D3:$E3))*5,
(E3-MIN($D3:$E3))/(MAX($D3:$E3)-MIN($D3:$E3))*5)))</f>
        <v>0</v>
      </c>
      <c r="H19" s="1" t="s">
        <v>64</v>
      </c>
      <c r="I19" s="1" t="s">
        <v>65</v>
      </c>
      <c r="J19" s="4">
        <v>4</v>
      </c>
      <c r="K19" s="4">
        <v>3</v>
      </c>
    </row>
    <row r="20" spans="1:11" x14ac:dyDescent="0.25">
      <c r="A20" s="1" t="s">
        <v>18</v>
      </c>
      <c r="B20" s="1">
        <f t="shared" si="0"/>
        <v>0</v>
      </c>
      <c r="C20" s="1">
        <f t="shared" si="1"/>
        <v>5</v>
      </c>
      <c r="H20" s="2" t="s">
        <v>39</v>
      </c>
      <c r="I20" s="1" t="s">
        <v>9</v>
      </c>
      <c r="J20" s="3" t="s">
        <v>9</v>
      </c>
      <c r="K20" s="3" t="s">
        <v>9</v>
      </c>
    </row>
    <row r="21" spans="1:11" x14ac:dyDescent="0.25">
      <c r="A21" s="1" t="s">
        <v>24</v>
      </c>
      <c r="B21" s="1">
        <f t="shared" si="0"/>
        <v>5</v>
      </c>
      <c r="C21" s="1">
        <f t="shared" si="1"/>
        <v>0</v>
      </c>
      <c r="H21" s="1" t="s">
        <v>66</v>
      </c>
      <c r="I21" s="1" t="s">
        <v>67</v>
      </c>
      <c r="J21" s="4">
        <v>5</v>
      </c>
      <c r="K21" s="4">
        <v>4</v>
      </c>
    </row>
    <row r="22" spans="1:11" x14ac:dyDescent="0.25">
      <c r="A22" s="1" t="s">
        <v>9</v>
      </c>
      <c r="B22" s="1" t="str">
        <f t="shared" si="0"/>
        <v/>
      </c>
      <c r="C22" s="1" t="str">
        <f t="shared" si="1"/>
        <v/>
      </c>
      <c r="H22" s="1" t="s">
        <v>68</v>
      </c>
      <c r="I22" s="1" t="s">
        <v>69</v>
      </c>
      <c r="J22" s="4">
        <v>4</v>
      </c>
      <c r="K22" s="4">
        <v>4</v>
      </c>
    </row>
    <row r="23" spans="1:11" x14ac:dyDescent="0.25">
      <c r="A23" s="1" t="s">
        <v>30</v>
      </c>
      <c r="B23" s="1">
        <f t="shared" si="0"/>
        <v>0</v>
      </c>
      <c r="C23" s="1">
        <f t="shared" si="1"/>
        <v>5</v>
      </c>
      <c r="H23" s="2" t="s">
        <v>43</v>
      </c>
      <c r="I23" s="1" t="s">
        <v>9</v>
      </c>
      <c r="J23" s="3" t="s">
        <v>9</v>
      </c>
      <c r="K23" s="3" t="s">
        <v>9</v>
      </c>
    </row>
    <row r="24" spans="1:11" x14ac:dyDescent="0.25">
      <c r="A24" s="1" t="s">
        <v>35</v>
      </c>
      <c r="B24" s="1">
        <f t="shared" si="0"/>
        <v>0</v>
      </c>
      <c r="C24" s="1">
        <f t="shared" si="1"/>
        <v>5</v>
      </c>
      <c r="H24" s="1" t="s">
        <v>70</v>
      </c>
      <c r="I24" s="1" t="s">
        <v>71</v>
      </c>
      <c r="J24" s="4">
        <v>5</v>
      </c>
      <c r="K24" s="4">
        <v>4</v>
      </c>
    </row>
    <row r="25" spans="1:11" x14ac:dyDescent="0.25">
      <c r="A25" s="1" t="s">
        <v>41</v>
      </c>
      <c r="B25" s="1">
        <f t="shared" si="0"/>
        <v>0</v>
      </c>
      <c r="C25" s="1">
        <f t="shared" si="1"/>
        <v>5</v>
      </c>
    </row>
    <row r="26" spans="1:11" x14ac:dyDescent="0.25">
      <c r="A26" s="1" t="s">
        <v>45</v>
      </c>
      <c r="B26" s="1">
        <f t="shared" si="0"/>
        <v>0</v>
      </c>
      <c r="C26" s="1">
        <f t="shared" si="1"/>
        <v>5</v>
      </c>
    </row>
    <row r="27" spans="1:11" x14ac:dyDescent="0.25">
      <c r="A27" s="1" t="s">
        <v>9</v>
      </c>
      <c r="B27" s="1" t="str">
        <f t="shared" si="0"/>
        <v/>
      </c>
      <c r="C27" s="1" t="str">
        <f t="shared" si="1"/>
        <v/>
      </c>
    </row>
    <row r="28" spans="1:11" x14ac:dyDescent="0.25">
      <c r="A28" s="1" t="s">
        <v>46</v>
      </c>
      <c r="B28" s="1">
        <f t="shared" si="0"/>
        <v>5</v>
      </c>
      <c r="C28" s="1">
        <f t="shared" si="1"/>
        <v>0</v>
      </c>
    </row>
    <row r="29" spans="1:11" x14ac:dyDescent="0.25">
      <c r="A29" s="1" t="s">
        <v>53</v>
      </c>
      <c r="B29" s="1">
        <f t="shared" si="0"/>
        <v>5</v>
      </c>
      <c r="C29" s="1">
        <f t="shared" si="1"/>
        <v>5</v>
      </c>
    </row>
    <row r="30" spans="1:11" x14ac:dyDescent="0.25">
      <c r="A30" s="1" t="s">
        <v>57</v>
      </c>
      <c r="B30" s="1">
        <f t="shared" si="0"/>
        <v>5</v>
      </c>
      <c r="C30" s="1">
        <f t="shared" si="1"/>
        <v>0</v>
      </c>
    </row>
    <row r="33" spans="1:4" x14ac:dyDescent="0.25">
      <c r="A33" s="1" t="s">
        <v>0</v>
      </c>
      <c r="B33" s="1" t="s">
        <v>3</v>
      </c>
      <c r="C33" s="1" t="s">
        <v>4</v>
      </c>
      <c r="D33" s="1"/>
    </row>
    <row r="34" spans="1:4" x14ac:dyDescent="0.25">
      <c r="A34" s="2" t="s">
        <v>8</v>
      </c>
      <c r="B34">
        <f>AVERAGE(B19:B21)</f>
        <v>3.3333333333333335</v>
      </c>
      <c r="C34" s="1">
        <f>AVERAGE(C19:C21)</f>
        <v>1.6666666666666667</v>
      </c>
      <c r="D34" s="1"/>
    </row>
    <row r="35" spans="1:4" x14ac:dyDescent="0.25">
      <c r="A35" s="2" t="s">
        <v>26</v>
      </c>
      <c r="B35" s="1">
        <f>AVERAGE(B23:B26)</f>
        <v>0</v>
      </c>
      <c r="C35" s="1">
        <f>AVERAGE(C23:C26)</f>
        <v>5</v>
      </c>
      <c r="D35" s="1"/>
    </row>
    <row r="36" spans="1:4" x14ac:dyDescent="0.25">
      <c r="A36" s="2" t="s">
        <v>22</v>
      </c>
      <c r="B36" s="1">
        <f>AVERAGE(B28:B30)</f>
        <v>5</v>
      </c>
      <c r="C36" s="1">
        <f>AVERAGE(C28:C30)</f>
        <v>1.6666666666666667</v>
      </c>
    </row>
    <row r="37" spans="1:4" x14ac:dyDescent="0.25">
      <c r="A37" s="1"/>
    </row>
    <row r="39" spans="1:4" x14ac:dyDescent="0.25">
      <c r="A39" s="1"/>
    </row>
    <row r="40" spans="1:4" x14ac:dyDescent="0.25">
      <c r="A40" s="1"/>
    </row>
    <row r="41" spans="1:4" x14ac:dyDescent="0.25">
      <c r="A41" s="1"/>
    </row>
    <row r="42" spans="1:4" x14ac:dyDescent="0.25">
      <c r="A42" s="1"/>
    </row>
    <row r="44" spans="1:4" x14ac:dyDescent="0.25">
      <c r="A44" s="1"/>
    </row>
    <row r="45" spans="1:4" x14ac:dyDescent="0.25">
      <c r="A45" s="1"/>
    </row>
    <row r="46" spans="1:4" x14ac:dyDescent="0.25">
      <c r="A46" s="1"/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Виталий Демьянцев</cp:lastModifiedBy>
  <cp:revision>2</cp:revision>
  <dcterms:modified xsi:type="dcterms:W3CDTF">2026-04-02T11:43:02Z</dcterms:modified>
</cp:coreProperties>
</file>